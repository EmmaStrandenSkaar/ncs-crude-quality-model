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DM\Downloads\"/>
    </mc:Choice>
  </mc:AlternateContent>
  <xr:revisionPtr revIDLastSave="0" documentId="13_ncr:1_{A741AB7D-A55B-44DD-9270-B045B0DBD804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ummary" sheetId="1" r:id="rId1"/>
    <sheet name="Yield Graph" sheetId="2" r:id="rId2"/>
  </sheets>
  <definedNames>
    <definedName name="_xlnm.Print_Area" localSheetId="0">Summary!$A$1:$R$90</definedName>
    <definedName name="_xlnm.Print_Area" localSheetId="1">'Yield Graph'!$A$1:$P$57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8" i="2" l="1"/>
  <c r="S57" i="2"/>
  <c r="S56" i="2"/>
  <c r="S55" i="2"/>
  <c r="S54" i="2"/>
  <c r="T94" i="1"/>
  <c r="T93" i="1"/>
  <c r="T92" i="1"/>
  <c r="T91" i="1"/>
  <c r="T90" i="1"/>
</calcChain>
</file>

<file path=xl/sharedStrings.xml><?xml version="1.0" encoding="utf-8"?>
<sst xmlns="http://schemas.openxmlformats.org/spreadsheetml/2006/main" count="226" uniqueCount="100">
  <si>
    <t>Reference:</t>
  </si>
  <si>
    <t>Crude:</t>
  </si>
  <si>
    <t xml:space="preserve">                                                          </t>
  </si>
  <si>
    <t xml:space="preserve">                          </t>
  </si>
  <si>
    <t xml:space="preserve">                                         </t>
  </si>
  <si>
    <t xml:space="preserve"> </t>
  </si>
  <si>
    <t xml:space="preserve"> General Information                                      </t>
  </si>
  <si>
    <t>methane + ethane</t>
  </si>
  <si>
    <t>Density @ 15°C (g/cc)</t>
  </si>
  <si>
    <t>Name:</t>
  </si>
  <si>
    <t>propane</t>
  </si>
  <si>
    <t>API Gravity</t>
  </si>
  <si>
    <t>Traded Crude:</t>
  </si>
  <si>
    <t>isobutane</t>
  </si>
  <si>
    <t>Total Sulphur (% wt)</t>
  </si>
  <si>
    <t>Origin:</t>
  </si>
  <si>
    <t>n-butane</t>
  </si>
  <si>
    <t>Pour Point (°C)</t>
  </si>
  <si>
    <t>isopentane</t>
  </si>
  <si>
    <t>Viscosity @ 20°C (cSt)</t>
  </si>
  <si>
    <t>Sample Date:</t>
  </si>
  <si>
    <t>n-pentane</t>
  </si>
  <si>
    <t>Viscosity @ 40°C (cSt)</t>
  </si>
  <si>
    <t>cyclopentane</t>
  </si>
  <si>
    <t>Nickel (ppm)</t>
  </si>
  <si>
    <t>Vanadium (ppm)</t>
  </si>
  <si>
    <t>Total Nitrogen (ppm)</t>
  </si>
  <si>
    <t>benzene</t>
  </si>
  <si>
    <t>Total Acid Number (mgKOH/g)</t>
  </si>
  <si>
    <t>Mercaptan Sulphur (ppm)</t>
  </si>
  <si>
    <t>Hydrogen Sulphide (ppm)</t>
  </si>
  <si>
    <t>toluene</t>
  </si>
  <si>
    <t>Reid Vapour Pressure (psi)</t>
  </si>
  <si>
    <t xml:space="preserve">                             </t>
  </si>
  <si>
    <t xml:space="preserve">      </t>
  </si>
  <si>
    <t xml:space="preserve">                                                              </t>
  </si>
  <si>
    <t xml:space="preserve">                           </t>
  </si>
  <si>
    <t xml:space="preserve">Cut Data                   </t>
  </si>
  <si>
    <t>Atmospheric Cuts</t>
  </si>
  <si>
    <t>Vacuum Cuts</t>
  </si>
  <si>
    <t>Start (°C)</t>
  </si>
  <si>
    <t xml:space="preserve"> IBP</t>
  </si>
  <si>
    <t xml:space="preserve">   C5</t>
  </si>
  <si>
    <t xml:space="preserve">End (°C) </t>
  </si>
  <si>
    <t xml:space="preserve"> FBP</t>
  </si>
  <si>
    <t xml:space="preserve">  FBP</t>
  </si>
  <si>
    <t>Yield (% wt)</t>
  </si>
  <si>
    <t>Yield (% vol)</t>
  </si>
  <si>
    <t>Cumulative Yield (% wt)</t>
  </si>
  <si>
    <t>UOPK</t>
  </si>
  <si>
    <t/>
  </si>
  <si>
    <t>Basic Nitrogen (ppm)</t>
  </si>
  <si>
    <t>Viscosity @ 50°C (cSt)</t>
  </si>
  <si>
    <t>Viscosity @ 60°C (cSt)</t>
  </si>
  <si>
    <t>Viscosity @ 100°C (cSt)</t>
  </si>
  <si>
    <t>Viscosity @ 130°C (cSt)</t>
  </si>
  <si>
    <t>RON (Clear)</t>
  </si>
  <si>
    <t>MON (Clear)</t>
  </si>
  <si>
    <t>Paraffins (% wt)</t>
  </si>
  <si>
    <t>Naphthenes (%wt)</t>
  </si>
  <si>
    <t>Aromatics (% wt)</t>
  </si>
  <si>
    <t>Cloud Point (°C)</t>
  </si>
  <si>
    <t>Freeze Point (°C)</t>
  </si>
  <si>
    <t>Smoke Point (mm)</t>
  </si>
  <si>
    <t>Cetane Index</t>
  </si>
  <si>
    <t>Naphthalenes (% vol)</t>
  </si>
  <si>
    <t>Aniline Point (°C)</t>
  </si>
  <si>
    <t>Hydrogen (% wt)</t>
  </si>
  <si>
    <t>Wax (% wt)</t>
  </si>
  <si>
    <t>Micro Carbon Residue (% wt)</t>
  </si>
  <si>
    <t>Rams. Carbon Residue (% wt)</t>
  </si>
  <si>
    <t>Assay Date:</t>
  </si>
  <si>
    <t>Issue Date:</t>
  </si>
  <si>
    <t>Comments:</t>
  </si>
  <si>
    <t>Crude Summary Report</t>
  </si>
  <si>
    <t>Whole Crude Properties</t>
  </si>
  <si>
    <t>Boiling Point</t>
  </si>
  <si>
    <t>Yield Distribution</t>
  </si>
  <si>
    <t>Vol</t>
  </si>
  <si>
    <t>Wgt</t>
  </si>
  <si>
    <t>IBP</t>
  </si>
  <si>
    <t>C4</t>
  </si>
  <si>
    <t>Molecules (% wt on crude)</t>
  </si>
  <si>
    <t>Disclaimer:</t>
  </si>
  <si>
    <t>The content of this assay is for guidance only and Equinor accepts no liability for any loss occurring from the use of this assay and errors that it may contain.</t>
  </si>
  <si>
    <r>
      <t>C</t>
    </r>
    <r>
      <rPr>
        <vertAlign val="subscript"/>
        <sz val="8"/>
        <color rgb="FF000000"/>
        <rFont val="Arial"/>
      </rPr>
      <t>6</t>
    </r>
    <r>
      <rPr>
        <sz val="8"/>
        <color rgb="FF000000"/>
        <rFont val="Arial"/>
      </rPr>
      <t xml:space="preserve"> paraffins</t>
    </r>
  </si>
  <si>
    <r>
      <t>C</t>
    </r>
    <r>
      <rPr>
        <vertAlign val="subscript"/>
        <sz val="8"/>
        <color rgb="FF000000"/>
        <rFont val="Arial"/>
      </rPr>
      <t>6</t>
    </r>
    <r>
      <rPr>
        <sz val="8"/>
        <color rgb="FF000000"/>
        <rFont val="Arial"/>
      </rPr>
      <t xml:space="preserve"> naphthenes</t>
    </r>
  </si>
  <si>
    <r>
      <t>C</t>
    </r>
    <r>
      <rPr>
        <vertAlign val="subscript"/>
        <sz val="8"/>
        <color rgb="FF000000"/>
        <rFont val="Arial"/>
      </rPr>
      <t>7</t>
    </r>
    <r>
      <rPr>
        <sz val="8"/>
        <color rgb="FF000000"/>
        <rFont val="Arial"/>
      </rPr>
      <t xml:space="preserve"> paraffins</t>
    </r>
  </si>
  <si>
    <r>
      <t>C</t>
    </r>
    <r>
      <rPr>
        <vertAlign val="subscript"/>
        <sz val="8"/>
        <color rgb="FF000000"/>
        <rFont val="Arial"/>
      </rPr>
      <t>7</t>
    </r>
    <r>
      <rPr>
        <sz val="8"/>
        <color rgb="FF000000"/>
        <rFont val="Arial"/>
      </rPr>
      <t xml:space="preserve"> naphthenes</t>
    </r>
  </si>
  <si>
    <r>
      <t>C</t>
    </r>
    <r>
      <rPr>
        <vertAlign val="subscript"/>
        <sz val="8"/>
        <color rgb="FF000000"/>
        <rFont val="Arial"/>
      </rPr>
      <t>7</t>
    </r>
    <r>
      <rPr>
        <sz val="8"/>
        <color rgb="FF000000"/>
        <rFont val="Arial"/>
      </rPr>
      <t xml:space="preserve"> Asphaltenes (% wt)</t>
    </r>
  </si>
  <si>
    <t>ORMEN LANGE 2018 01</t>
  </si>
  <si>
    <t>ORMENLANGE201801</t>
  </si>
  <si>
    <t>Ormen Lange Condensate</t>
  </si>
  <si>
    <t>Norway</t>
  </si>
  <si>
    <t>16 January 2018</t>
  </si>
  <si>
    <t>16 February 2018</t>
  </si>
  <si>
    <t>17 April 2018</t>
  </si>
  <si>
    <t>-</t>
  </si>
  <si>
    <t>0.08 kgCO2e/bbl (2025)</t>
  </si>
  <si>
    <t>GHG Intensity: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</si>
</sst>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&lt;10]0.00;[&gt;100]#;0.0"/>
    <numFmt numFmtId="167" formatCode="[&lt;0.5]0.000;[&lt;0.05]0.0000;0.00"/>
  </numFmts>
  <fonts count="18">
    <font>
      <sz val="10"/>
      <name val="Arial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sz val="7.5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Equi"/>
    </font>
    <font>
      <sz val="8"/>
      <name val="Equi"/>
    </font>
    <font>
      <b/>
      <sz val="9"/>
      <name val="Arial"/>
      <family val="2"/>
    </font>
    <font>
      <vertAlign val="subscript"/>
      <sz val="8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0" fillId="0" borderId="5" xfId="0" applyBorder="1"/>
    <xf numFmtId="0" fontId="0" fillId="0" borderId="0" xfId="0" applyAlignment="1">
      <alignment horizontal="right"/>
    </xf>
    <xf numFmtId="0" fontId="4" fillId="0" borderId="0" xfId="0" applyFont="1"/>
    <xf numFmtId="0" fontId="5" fillId="0" borderId="6" xfId="0" applyFont="1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4" fontId="6" fillId="0" borderId="0" xfId="0" applyNumberFormat="1" applyFont="1"/>
    <xf numFmtId="2" fontId="0" fillId="0" borderId="0" xfId="0" applyNumberFormat="1"/>
    <xf numFmtId="1" fontId="0" fillId="0" borderId="0" xfId="0" applyNumberFormat="1" applyProtection="1">
      <protection hidden="1"/>
    </xf>
    <xf numFmtId="2" fontId="0" fillId="0" borderId="0" xfId="0" applyNumberFormat="1" applyProtection="1">
      <protection hidden="1"/>
    </xf>
    <xf numFmtId="0" fontId="1" fillId="0" borderId="0" xfId="0" applyFont="1"/>
    <xf numFmtId="0" fontId="7" fillId="0" borderId="0" xfId="0" applyFont="1"/>
    <xf numFmtId="1" fontId="7" fillId="0" borderId="0" xfId="0" applyNumberFormat="1" applyFont="1" applyProtection="1">
      <protection hidden="1"/>
    </xf>
    <xf numFmtId="0" fontId="8" fillId="0" borderId="0" xfId="0" applyFont="1"/>
    <xf numFmtId="0" fontId="8" fillId="0" borderId="0" xfId="0" applyFont="1" applyProtection="1">
      <protection hidden="1"/>
    </xf>
    <xf numFmtId="1" fontId="8" fillId="0" borderId="0" xfId="0" applyNumberFormat="1" applyFont="1" applyProtection="1">
      <protection hidden="1"/>
    </xf>
    <xf numFmtId="2" fontId="8" fillId="0" borderId="0" xfId="0" applyNumberFormat="1" applyFont="1" applyProtection="1">
      <protection hidden="1"/>
    </xf>
    <xf numFmtId="2" fontId="8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1" fillId="0" borderId="0" xfId="0" applyFont="1"/>
    <xf numFmtId="0" fontId="13" fillId="0" borderId="6" xfId="0" applyFont="1" applyBorder="1"/>
    <xf numFmtId="0" fontId="13" fillId="0" borderId="0" xfId="0" applyFont="1"/>
    <xf numFmtId="0" fontId="14" fillId="0" borderId="7" xfId="0" applyFont="1" applyBorder="1"/>
    <xf numFmtId="0" fontId="14" fillId="0" borderId="8" xfId="0" applyFont="1" applyBorder="1"/>
    <xf numFmtId="0" fontId="14" fillId="0" borderId="9" xfId="0" applyFont="1" applyBorder="1"/>
    <xf numFmtId="0" fontId="2" fillId="0" borderId="17" xfId="0" applyFont="1" applyBorder="1"/>
    <xf numFmtId="0" fontId="2" fillId="0" borderId="0" xfId="0" applyFont="1"/>
    <xf numFmtId="0" fontId="2" fillId="0" borderId="18" xfId="0" applyFont="1" applyBorder="1"/>
    <xf numFmtId="0" fontId="2" fillId="0" borderId="5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" fillId="0" borderId="9" xfId="0" applyFont="1" applyBorder="1"/>
    <xf numFmtId="2" fontId="2" fillId="0" borderId="18" xfId="0" applyNumberFormat="1" applyFont="1" applyBorder="1"/>
    <xf numFmtId="165" fontId="2" fillId="0" borderId="18" xfId="0" applyNumberFormat="1" applyFont="1" applyBorder="1"/>
    <xf numFmtId="164" fontId="2" fillId="0" borderId="18" xfId="0" applyNumberFormat="1" applyFont="1" applyBorder="1"/>
    <xf numFmtId="1" fontId="2" fillId="0" borderId="18" xfId="0" applyNumberFormat="1" applyFont="1" applyBorder="1"/>
    <xf numFmtId="0" fontId="2" fillId="0" borderId="19" xfId="0" applyFont="1" applyBorder="1"/>
    <xf numFmtId="0" fontId="1" fillId="0" borderId="5" xfId="0" applyFont="1" applyBorder="1"/>
    <xf numFmtId="0" fontId="2" fillId="0" borderId="20" xfId="0" applyFont="1" applyBorder="1"/>
    <xf numFmtId="0" fontId="2" fillId="0" borderId="20" xfId="0" applyFont="1" applyBorder="1" applyAlignment="1">
      <alignment horizontal="right"/>
    </xf>
    <xf numFmtId="0" fontId="2" fillId="0" borderId="17" xfId="0" applyFont="1" applyBorder="1" applyAlignment="1">
      <alignment horizontal="center"/>
    </xf>
    <xf numFmtId="0" fontId="2" fillId="0" borderId="17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8" xfId="0" applyFont="1" applyBorder="1" applyAlignment="1">
      <alignment horizontal="right"/>
    </xf>
    <xf numFmtId="0" fontId="2" fillId="0" borderId="14" xfId="0" applyFont="1" applyBorder="1"/>
    <xf numFmtId="164" fontId="2" fillId="0" borderId="20" xfId="0" applyNumberFormat="1" applyFont="1" applyBorder="1" applyAlignment="1">
      <alignment horizontal="center"/>
    </xf>
    <xf numFmtId="164" fontId="2" fillId="0" borderId="0" xfId="0" applyNumberFormat="1" applyFont="1"/>
    <xf numFmtId="164" fontId="2" fillId="0" borderId="17" xfId="0" applyNumberFormat="1" applyFont="1" applyBorder="1"/>
    <xf numFmtId="165" fontId="2" fillId="0" borderId="20" xfId="0" applyNumberFormat="1" applyFont="1" applyBorder="1"/>
    <xf numFmtId="165" fontId="2" fillId="0" borderId="0" xfId="0" applyNumberFormat="1" applyFont="1"/>
    <xf numFmtId="165" fontId="2" fillId="0" borderId="17" xfId="0" applyNumberFormat="1" applyFont="1" applyBorder="1"/>
    <xf numFmtId="164" fontId="2" fillId="0" borderId="20" xfId="0" applyNumberFormat="1" applyFont="1" applyBorder="1"/>
    <xf numFmtId="167" fontId="2" fillId="0" borderId="20" xfId="0" applyNumberFormat="1" applyFont="1" applyBorder="1"/>
    <xf numFmtId="167" fontId="2" fillId="0" borderId="0" xfId="0" applyNumberFormat="1" applyFont="1"/>
    <xf numFmtId="167" fontId="2" fillId="0" borderId="17" xfId="0" applyNumberFormat="1" applyFont="1" applyBorder="1"/>
    <xf numFmtId="167" fontId="2" fillId="0" borderId="18" xfId="0" applyNumberFormat="1" applyFont="1" applyBorder="1"/>
    <xf numFmtId="1" fontId="2" fillId="0" borderId="20" xfId="0" applyNumberFormat="1" applyFont="1" applyBorder="1"/>
    <xf numFmtId="1" fontId="2" fillId="0" borderId="0" xfId="0" applyNumberFormat="1" applyFont="1"/>
    <xf numFmtId="1" fontId="2" fillId="0" borderId="17" xfId="0" applyNumberFormat="1" applyFont="1" applyBorder="1"/>
    <xf numFmtId="2" fontId="2" fillId="0" borderId="20" xfId="0" applyNumberFormat="1" applyFont="1" applyBorder="1"/>
    <xf numFmtId="2" fontId="2" fillId="0" borderId="0" xfId="0" applyNumberFormat="1" applyFont="1"/>
    <xf numFmtId="2" fontId="2" fillId="0" borderId="17" xfId="0" applyNumberFormat="1" applyFont="1" applyBorder="1"/>
    <xf numFmtId="166" fontId="2" fillId="0" borderId="20" xfId="0" applyNumberFormat="1" applyFont="1" applyBorder="1"/>
    <xf numFmtId="166" fontId="2" fillId="0" borderId="0" xfId="0" applyNumberFormat="1" applyFont="1"/>
    <xf numFmtId="166" fontId="2" fillId="0" borderId="18" xfId="0" applyNumberFormat="1" applyFont="1" applyBorder="1"/>
    <xf numFmtId="166" fontId="2" fillId="0" borderId="17" xfId="0" applyNumberFormat="1" applyFont="1" applyBorder="1"/>
    <xf numFmtId="0" fontId="1" fillId="0" borderId="11" xfId="0" applyFont="1" applyBorder="1"/>
    <xf numFmtId="0" fontId="1" fillId="0" borderId="12" xfId="0" applyFont="1" applyBorder="1"/>
    <xf numFmtId="0" fontId="15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9" fillId="0" borderId="0" xfId="0" applyFont="1"/>
    <xf numFmtId="0" fontId="9" fillId="0" borderId="0" xfId="0" applyFont="1" applyAlignment="1">
      <alignment wrapText="1"/>
    </xf>
    <xf numFmtId="0" fontId="2" fillId="0" borderId="18" xfId="0" applyFont="1" applyBorder="1"/>
    <xf numFmtId="0" fontId="2" fillId="0" borderId="18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7" xfId="0" applyBorder="1"/>
    <xf numFmtId="0" fontId="2" fillId="0" borderId="0" xfId="0" applyFont="1" applyBorder="1"/>
    <xf numFmtId="0" fontId="2" fillId="0" borderId="0" xfId="0" applyFont="1" applyBorder="1" applyAlignment="1">
      <alignment wrapText="1"/>
    </xf>
    <xf numFmtId="0" fontId="2" fillId="0" borderId="0" xfId="0" applyFont="1" applyBorder="1"/>
    <xf numFmtId="0" fontId="14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Yield</a:t>
            </a:r>
          </a:p>
        </c:rich>
      </c:tx>
      <c:layout>
        <c:manualLayout>
          <c:xMode val="edge"/>
          <c:yMode val="edge"/>
          <c:x val="0.39089514909537404"/>
          <c:y val="3.47938144329896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61075446026484"/>
          <c:y val="9.9226804123711335E-2"/>
          <c:w val="0.85714351417128187"/>
          <c:h val="0.81958762886597936"/>
        </c:manualLayout>
      </c:layout>
      <c:scatterChart>
        <c:scatterStyle val="lineMarker"/>
        <c:varyColors val="0"/>
        <c:ser>
          <c:idx val="0"/>
          <c:order val="0"/>
          <c:tx>
            <c:v>Weight Yield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'Yield Graph'!$C$61:$C$156</c:f>
              <c:numCache>
                <c:formatCode>General</c:formatCode>
                <c:ptCount val="96"/>
                <c:pt idx="0">
                  <c:v>2.2041821408601399E-2</c:v>
                </c:pt>
                <c:pt idx="1">
                  <c:v>2.2041821408601399E-2</c:v>
                </c:pt>
                <c:pt idx="2">
                  <c:v>0.39136835351815802</c:v>
                </c:pt>
                <c:pt idx="3">
                  <c:v>0.39136835351815802</c:v>
                </c:pt>
                <c:pt idx="4">
                  <c:v>0.39136835351815802</c:v>
                </c:pt>
                <c:pt idx="5">
                  <c:v>0.39136835351815802</c:v>
                </c:pt>
                <c:pt idx="6">
                  <c:v>0.39136835351815802</c:v>
                </c:pt>
                <c:pt idx="7">
                  <c:v>0.39136835351815802</c:v>
                </c:pt>
                <c:pt idx="8">
                  <c:v>1.10024459834691</c:v>
                </c:pt>
                <c:pt idx="9">
                  <c:v>1.10024459834691</c:v>
                </c:pt>
                <c:pt idx="10">
                  <c:v>3.6749786192575602</c:v>
                </c:pt>
                <c:pt idx="11">
                  <c:v>3.6749786192575602</c:v>
                </c:pt>
                <c:pt idx="12">
                  <c:v>3.7190499061978199</c:v>
                </c:pt>
                <c:pt idx="13">
                  <c:v>3.7190499061978199</c:v>
                </c:pt>
                <c:pt idx="14">
                  <c:v>3.7190499061978199</c:v>
                </c:pt>
                <c:pt idx="15">
                  <c:v>3.7190499061978199</c:v>
                </c:pt>
                <c:pt idx="16">
                  <c:v>7.1938526858770802</c:v>
                </c:pt>
                <c:pt idx="17">
                  <c:v>7.1938526858770802</c:v>
                </c:pt>
                <c:pt idx="18">
                  <c:v>10.8041927878204</c:v>
                </c:pt>
                <c:pt idx="19">
                  <c:v>10.8041927878204</c:v>
                </c:pt>
                <c:pt idx="20">
                  <c:v>11.4369083092691</c:v>
                </c:pt>
                <c:pt idx="21">
                  <c:v>11.4369083092691</c:v>
                </c:pt>
                <c:pt idx="22">
                  <c:v>11.721685580789901</c:v>
                </c:pt>
                <c:pt idx="23">
                  <c:v>16.488874861659401</c:v>
                </c:pt>
                <c:pt idx="24">
                  <c:v>21.474145942103</c:v>
                </c:pt>
                <c:pt idx="25">
                  <c:v>24.526508638563399</c:v>
                </c:pt>
                <c:pt idx="26">
                  <c:v>24.621589494157298</c:v>
                </c:pt>
                <c:pt idx="27">
                  <c:v>31.054552869302402</c:v>
                </c:pt>
                <c:pt idx="28">
                  <c:v>32.157584293503</c:v>
                </c:pt>
                <c:pt idx="29">
                  <c:v>37.452567904156801</c:v>
                </c:pt>
                <c:pt idx="30">
                  <c:v>43.962677611693302</c:v>
                </c:pt>
                <c:pt idx="31">
                  <c:v>50.688002525307397</c:v>
                </c:pt>
                <c:pt idx="32">
                  <c:v>51.960388772482197</c:v>
                </c:pt>
                <c:pt idx="33">
                  <c:v>53.309888864346298</c:v>
                </c:pt>
                <c:pt idx="34">
                  <c:v>59.454348975455702</c:v>
                </c:pt>
                <c:pt idx="35">
                  <c:v>60.903082387771597</c:v>
                </c:pt>
                <c:pt idx="36">
                  <c:v>64.989047395981004</c:v>
                </c:pt>
                <c:pt idx="37">
                  <c:v>66.733919630271302</c:v>
                </c:pt>
                <c:pt idx="38">
                  <c:v>70.195152478183601</c:v>
                </c:pt>
                <c:pt idx="39">
                  <c:v>73.258721490503007</c:v>
                </c:pt>
                <c:pt idx="40">
                  <c:v>75.311281108980296</c:v>
                </c:pt>
                <c:pt idx="41">
                  <c:v>79.303320613389701</c:v>
                </c:pt>
                <c:pt idx="42">
                  <c:v>83.042178989281396</c:v>
                </c:pt>
                <c:pt idx="43">
                  <c:v>86.412177647468894</c:v>
                </c:pt>
                <c:pt idx="44">
                  <c:v>89.324659074830805</c:v>
                </c:pt>
                <c:pt idx="45">
                  <c:v>91.735128152719994</c:v>
                </c:pt>
                <c:pt idx="46">
                  <c:v>93.649998740397294</c:v>
                </c:pt>
                <c:pt idx="47">
                  <c:v>95.120067258830602</c:v>
                </c:pt>
                <c:pt idx="48">
                  <c:v>96.223608059695593</c:v>
                </c:pt>
                <c:pt idx="49">
                  <c:v>97.046499144325196</c:v>
                </c:pt>
                <c:pt idx="50">
                  <c:v>97.666147132910694</c:v>
                </c:pt>
                <c:pt idx="51">
                  <c:v>98.142949328211301</c:v>
                </c:pt>
                <c:pt idx="52">
                  <c:v>98.519052703087894</c:v>
                </c:pt>
                <c:pt idx="53">
                  <c:v>98.821654793068006</c:v>
                </c:pt>
                <c:pt idx="54">
                  <c:v>99.067752628157507</c:v>
                </c:pt>
                <c:pt idx="55">
                  <c:v>99.268297220572705</c:v>
                </c:pt>
                <c:pt idx="56">
                  <c:v>99.431000997176795</c:v>
                </c:pt>
                <c:pt idx="57">
                  <c:v>99.561904474860299</c:v>
                </c:pt>
                <c:pt idx="58">
                  <c:v>99.666139091835106</c:v>
                </c:pt>
                <c:pt idx="59">
                  <c:v>99.748211564022895</c:v>
                </c:pt>
                <c:pt idx="60">
                  <c:v>99.812090837843101</c:v>
                </c:pt>
                <c:pt idx="61">
                  <c:v>99.861233501995102</c:v>
                </c:pt>
                <c:pt idx="62">
                  <c:v>99.898601357414407</c:v>
                </c:pt>
                <c:pt idx="63">
                  <c:v>99.9266880785773</c:v>
                </c:pt>
                <c:pt idx="64">
                  <c:v>99.947556876345402</c:v>
                </c:pt>
                <c:pt idx="65">
                  <c:v>99.962886128693</c:v>
                </c:pt>
                <c:pt idx="66">
                  <c:v>99.974018244122405</c:v>
                </c:pt>
                <c:pt idx="67">
                  <c:v>99.982008414850796</c:v>
                </c:pt>
                <c:pt idx="68">
                  <c:v>99.9876764711085</c:v>
                </c:pt>
                <c:pt idx="69">
                  <c:v>99.9916504255782</c:v>
                </c:pt>
                <c:pt idx="70">
                  <c:v>99.994404238336699</c:v>
                </c:pt>
                <c:pt idx="71">
                  <c:v>99.996290413199702</c:v>
                </c:pt>
                <c:pt idx="72">
                  <c:v>99.997567380361005</c:v>
                </c:pt>
                <c:pt idx="73">
                  <c:v>99.998421940856403</c:v>
                </c:pt>
                <c:pt idx="74">
                  <c:v>99.998987251413396</c:v>
                </c:pt>
                <c:pt idx="75">
                  <c:v>99.999356934277003</c:v>
                </c:pt>
                <c:pt idx="76">
                  <c:v>99.9995959242694</c:v>
                </c:pt>
                <c:pt idx="77">
                  <c:v>99.999748652024195</c:v>
                </c:pt>
                <c:pt idx="78">
                  <c:v>99.999845134279795</c:v>
                </c:pt>
                <c:pt idx="79">
                  <c:v>99.999905388004194</c:v>
                </c:pt>
                <c:pt idx="80">
                  <c:v>99.999942588634298</c:v>
                </c:pt>
                <c:pt idx="81">
                  <c:v>99.999965296816399</c:v>
                </c:pt>
                <c:pt idx="82">
                  <c:v>99.999979003694193</c:v>
                </c:pt>
                <c:pt idx="83">
                  <c:v>99.999987186797298</c:v>
                </c:pt>
                <c:pt idx="84">
                  <c:v>99.999992020654801</c:v>
                </c:pt>
                <c:pt idx="85">
                  <c:v>99.999994847962398</c:v>
                </c:pt>
                <c:pt idx="86">
                  <c:v>99.999996487411806</c:v>
                </c:pt>
                <c:pt idx="87">
                  <c:v>99.999997431947307</c:v>
                </c:pt>
                <c:pt idx="88">
                  <c:v>99.999997974822705</c:v>
                </c:pt>
                <c:pt idx="89">
                  <c:v>99.999998288344997</c:v>
                </c:pt>
                <c:pt idx="90">
                  <c:v>99.999998472499598</c:v>
                </c:pt>
                <c:pt idx="91">
                  <c:v>99.999998584586706</c:v>
                </c:pt>
                <c:pt idx="92">
                  <c:v>99.9999986570392</c:v>
                </c:pt>
                <c:pt idx="93">
                  <c:v>99.999998707988098</c:v>
                </c:pt>
                <c:pt idx="94">
                  <c:v>99.999998747445204</c:v>
                </c:pt>
                <c:pt idx="95">
                  <c:v>99.999998780870698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4E-472E-AC94-E57379722C63}"/>
            </c:ext>
          </c:extLst>
        </c:ser>
        <c:ser>
          <c:idx val="1"/>
          <c:order val="1"/>
          <c:tx>
            <c:v>Volume Yield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'Yield Graph'!$D$61:$D$156</c:f>
              <c:numCache>
                <c:formatCode>General</c:formatCode>
                <c:ptCount val="96"/>
                <c:pt idx="0">
                  <c:v>4.5552895094541399E-2</c:v>
                </c:pt>
                <c:pt idx="1">
                  <c:v>4.5552895094541399E-2</c:v>
                </c:pt>
                <c:pt idx="2">
                  <c:v>0.57543104249352905</c:v>
                </c:pt>
                <c:pt idx="3">
                  <c:v>0.57543104249352905</c:v>
                </c:pt>
                <c:pt idx="4">
                  <c:v>0.57543104249352905</c:v>
                </c:pt>
                <c:pt idx="5">
                  <c:v>0.57543104249352905</c:v>
                </c:pt>
                <c:pt idx="6">
                  <c:v>0.57543104249352905</c:v>
                </c:pt>
                <c:pt idx="7">
                  <c:v>0.57543104249352905</c:v>
                </c:pt>
                <c:pt idx="8">
                  <c:v>1.49190005706504</c:v>
                </c:pt>
                <c:pt idx="9">
                  <c:v>1.49190005706504</c:v>
                </c:pt>
                <c:pt idx="10">
                  <c:v>4.6988072536612702</c:v>
                </c:pt>
                <c:pt idx="11">
                  <c:v>4.6988072536612702</c:v>
                </c:pt>
                <c:pt idx="12">
                  <c:v>4.7525954286825103</c:v>
                </c:pt>
                <c:pt idx="13">
                  <c:v>4.7525954286825103</c:v>
                </c:pt>
                <c:pt idx="14">
                  <c:v>4.7525954286825103</c:v>
                </c:pt>
                <c:pt idx="15">
                  <c:v>4.7525954286825103</c:v>
                </c:pt>
                <c:pt idx="16">
                  <c:v>8.8038957261930104</c:v>
                </c:pt>
                <c:pt idx="17">
                  <c:v>8.8038957261930104</c:v>
                </c:pt>
                <c:pt idx="18">
                  <c:v>12.971585210009501</c:v>
                </c:pt>
                <c:pt idx="19">
                  <c:v>12.971585210009501</c:v>
                </c:pt>
                <c:pt idx="20">
                  <c:v>13.5983419345642</c:v>
                </c:pt>
                <c:pt idx="21">
                  <c:v>13.5983419345642</c:v>
                </c:pt>
                <c:pt idx="22">
                  <c:v>13.909638818252001</c:v>
                </c:pt>
                <c:pt idx="23">
                  <c:v>19.1598289391384</c:v>
                </c:pt>
                <c:pt idx="24">
                  <c:v>24.629050932178298</c:v>
                </c:pt>
                <c:pt idx="25">
                  <c:v>27.5796429626308</c:v>
                </c:pt>
                <c:pt idx="26">
                  <c:v>27.681764765983701</c:v>
                </c:pt>
                <c:pt idx="27">
                  <c:v>33.623068833208698</c:v>
                </c:pt>
                <c:pt idx="28">
                  <c:v>34.742114109027298</c:v>
                </c:pt>
                <c:pt idx="29">
                  <c:v>40.071900310942702</c:v>
                </c:pt>
                <c:pt idx="30">
                  <c:v>46.961927661042203</c:v>
                </c:pt>
                <c:pt idx="31">
                  <c:v>53.294807170797803</c:v>
                </c:pt>
                <c:pt idx="32">
                  <c:v>54.585041747229802</c:v>
                </c:pt>
                <c:pt idx="33">
                  <c:v>55.755009979434398</c:v>
                </c:pt>
                <c:pt idx="34">
                  <c:v>61.844792108723503</c:v>
                </c:pt>
                <c:pt idx="35">
                  <c:v>63.203833380871899</c:v>
                </c:pt>
                <c:pt idx="36">
                  <c:v>67.338953617871596</c:v>
                </c:pt>
                <c:pt idx="37">
                  <c:v>68.973508326540994</c:v>
                </c:pt>
                <c:pt idx="38">
                  <c:v>72.154552854028495</c:v>
                </c:pt>
                <c:pt idx="39">
                  <c:v>75.132944068847095</c:v>
                </c:pt>
                <c:pt idx="40">
                  <c:v>77.101011125722195</c:v>
                </c:pt>
                <c:pt idx="41">
                  <c:v>80.903350947581799</c:v>
                </c:pt>
                <c:pt idx="42">
                  <c:v>84.4352654181654</c:v>
                </c:pt>
                <c:pt idx="43">
                  <c:v>87.594666857895007</c:v>
                </c:pt>
                <c:pt idx="44">
                  <c:v>90.306013086472703</c:v>
                </c:pt>
                <c:pt idx="45">
                  <c:v>92.535312957729303</c:v>
                </c:pt>
                <c:pt idx="46">
                  <c:v>94.295266616748805</c:v>
                </c:pt>
                <c:pt idx="47">
                  <c:v>95.638317997158694</c:v>
                </c:pt>
                <c:pt idx="48">
                  <c:v>96.640698669603694</c:v>
                </c:pt>
                <c:pt idx="49">
                  <c:v>97.384025311397195</c:v>
                </c:pt>
                <c:pt idx="50">
                  <c:v>97.940810571965898</c:v>
                </c:pt>
                <c:pt idx="51">
                  <c:v>98.367103018111493</c:v>
                </c:pt>
                <c:pt idx="52">
                  <c:v>98.701786076138703</c:v>
                </c:pt>
                <c:pt idx="53">
                  <c:v>98.969884514069307</c:v>
                </c:pt>
                <c:pt idx="54">
                  <c:v>99.187040769810594</c:v>
                </c:pt>
                <c:pt idx="55">
                  <c:v>99.363348440389998</c:v>
                </c:pt>
                <c:pt idx="56">
                  <c:v>99.5059175536488</c:v>
                </c:pt>
                <c:pt idx="57">
                  <c:v>99.620299916837894</c:v>
                </c:pt>
                <c:pt idx="58">
                  <c:v>99.711161899265306</c:v>
                </c:pt>
                <c:pt idx="59">
                  <c:v>99.782556714009303</c:v>
                </c:pt>
                <c:pt idx="60">
                  <c:v>99.838021774343702</c:v>
                </c:pt>
                <c:pt idx="61">
                  <c:v>99.880616451239305</c:v>
                </c:pt>
                <c:pt idx="62">
                  <c:v>99.912948581561594</c:v>
                </c:pt>
                <c:pt idx="63">
                  <c:v>99.937205469441494</c:v>
                </c:pt>
                <c:pt idx="64">
                  <c:v>99.955191860905899</c:v>
                </c:pt>
                <c:pt idx="65">
                  <c:v>99.9683729573877</c:v>
                </c:pt>
                <c:pt idx="66">
                  <c:v>99.977919594607499</c:v>
                </c:pt>
                <c:pt idx="67">
                  <c:v>99.984752973534995</c:v>
                </c:pt>
                <c:pt idx="68">
                  <c:v>99.989586936627006</c:v>
                </c:pt>
                <c:pt idx="69">
                  <c:v>99.992966432904893</c:v>
                </c:pt>
                <c:pt idx="70">
                  <c:v>99.995301400696405</c:v>
                </c:pt>
                <c:pt idx="71">
                  <c:v>99.996895776940505</c:v>
                </c:pt>
                <c:pt idx="72">
                  <c:v>99.997971705896205</c:v>
                </c:pt>
                <c:pt idx="73">
                  <c:v>99.998689272398906</c:v>
                </c:pt>
                <c:pt idx="74">
                  <c:v>99.999162238969703</c:v>
                </c:pt>
                <c:pt idx="75">
                  <c:v>99.999470340239498</c:v>
                </c:pt>
                <c:pt idx="76">
                  <c:v>99.999668701831595</c:v>
                </c:pt>
                <c:pt idx="77">
                  <c:v>99.999794922583703</c:v>
                </c:pt>
                <c:pt idx="78">
                  <c:v>99.999874304880805</c:v>
                </c:pt>
                <c:pt idx="79">
                  <c:v>99.999923650793704</c:v>
                </c:pt>
                <c:pt idx="80">
                  <c:v>99.999953971237403</c:v>
                </c:pt>
                <c:pt idx="81">
                  <c:v>99.999972387935202</c:v>
                </c:pt>
                <c:pt idx="82">
                  <c:v>99.999983447488503</c:v>
                </c:pt>
                <c:pt idx="83">
                  <c:v>99.999990015163107</c:v>
                </c:pt>
                <c:pt idx="84">
                  <c:v>99.999993873555297</c:v>
                </c:pt>
                <c:pt idx="85">
                  <c:v>99.999996117583507</c:v>
                </c:pt>
                <c:pt idx="86">
                  <c:v>99.999997411266307</c:v>
                </c:pt>
                <c:pt idx="87">
                  <c:v>99.999998152229495</c:v>
                </c:pt>
                <c:pt idx="88">
                  <c:v>99.999998575592102</c:v>
                </c:pt>
                <c:pt idx="89">
                  <c:v>99.999998818645196</c:v>
                </c:pt>
                <c:pt idx="90">
                  <c:v>99.999998960558301</c:v>
                </c:pt>
                <c:pt idx="91">
                  <c:v>99.999999046418097</c:v>
                </c:pt>
                <c:pt idx="92">
                  <c:v>99.999999101583896</c:v>
                </c:pt>
                <c:pt idx="93">
                  <c:v>99.999999140142805</c:v>
                </c:pt>
                <c:pt idx="94">
                  <c:v>99.999999169823894</c:v>
                </c:pt>
                <c:pt idx="95">
                  <c:v>99.9999991948158</c:v>
                </c:pt>
              </c:numCache>
            </c:numRef>
          </c:xVal>
          <c:yVal>
            <c:numRef>
              <c:f>'Yield Graph'!$B$61:$B$156</c:f>
              <c:numCache>
                <c:formatCode>0</c:formatCode>
                <c:ptCount val="96"/>
                <c:pt idx="0">
                  <c:v>-50</c:v>
                </c:pt>
                <c:pt idx="1">
                  <c:v>-45</c:v>
                </c:pt>
                <c:pt idx="2">
                  <c:v>-40</c:v>
                </c:pt>
                <c:pt idx="3">
                  <c:v>-35</c:v>
                </c:pt>
                <c:pt idx="4">
                  <c:v>-30</c:v>
                </c:pt>
                <c:pt idx="5">
                  <c:v>-25</c:v>
                </c:pt>
                <c:pt idx="6">
                  <c:v>-20</c:v>
                </c:pt>
                <c:pt idx="7">
                  <c:v>-15</c:v>
                </c:pt>
                <c:pt idx="8">
                  <c:v>-10</c:v>
                </c:pt>
                <c:pt idx="9">
                  <c:v>-5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  <c:pt idx="17">
                  <c:v>35</c:v>
                </c:pt>
                <c:pt idx="18">
                  <c:v>40</c:v>
                </c:pt>
                <c:pt idx="19">
                  <c:v>45</c:v>
                </c:pt>
                <c:pt idx="20">
                  <c:v>50</c:v>
                </c:pt>
                <c:pt idx="21">
                  <c:v>55</c:v>
                </c:pt>
                <c:pt idx="22">
                  <c:v>60</c:v>
                </c:pt>
                <c:pt idx="23">
                  <c:v>65</c:v>
                </c:pt>
                <c:pt idx="24">
                  <c:v>70</c:v>
                </c:pt>
                <c:pt idx="25">
                  <c:v>75</c:v>
                </c:pt>
                <c:pt idx="26">
                  <c:v>80</c:v>
                </c:pt>
                <c:pt idx="27">
                  <c:v>85</c:v>
                </c:pt>
                <c:pt idx="28">
                  <c:v>90</c:v>
                </c:pt>
                <c:pt idx="29">
                  <c:v>95</c:v>
                </c:pt>
                <c:pt idx="30">
                  <c:v>100</c:v>
                </c:pt>
                <c:pt idx="31">
                  <c:v>105</c:v>
                </c:pt>
                <c:pt idx="32">
                  <c:v>110</c:v>
                </c:pt>
                <c:pt idx="33">
                  <c:v>115</c:v>
                </c:pt>
                <c:pt idx="34">
                  <c:v>120</c:v>
                </c:pt>
                <c:pt idx="35">
                  <c:v>125</c:v>
                </c:pt>
                <c:pt idx="36">
                  <c:v>130</c:v>
                </c:pt>
                <c:pt idx="37">
                  <c:v>135</c:v>
                </c:pt>
                <c:pt idx="38">
                  <c:v>140</c:v>
                </c:pt>
                <c:pt idx="39">
                  <c:v>145</c:v>
                </c:pt>
                <c:pt idx="40">
                  <c:v>150</c:v>
                </c:pt>
                <c:pt idx="41">
                  <c:v>160</c:v>
                </c:pt>
                <c:pt idx="42">
                  <c:v>170</c:v>
                </c:pt>
                <c:pt idx="43">
                  <c:v>180</c:v>
                </c:pt>
                <c:pt idx="44">
                  <c:v>190</c:v>
                </c:pt>
                <c:pt idx="45">
                  <c:v>200</c:v>
                </c:pt>
                <c:pt idx="46">
                  <c:v>210</c:v>
                </c:pt>
                <c:pt idx="47">
                  <c:v>220</c:v>
                </c:pt>
                <c:pt idx="48">
                  <c:v>230</c:v>
                </c:pt>
                <c:pt idx="49">
                  <c:v>240</c:v>
                </c:pt>
                <c:pt idx="50">
                  <c:v>250</c:v>
                </c:pt>
                <c:pt idx="51">
                  <c:v>260</c:v>
                </c:pt>
                <c:pt idx="52">
                  <c:v>270</c:v>
                </c:pt>
                <c:pt idx="53">
                  <c:v>280</c:v>
                </c:pt>
                <c:pt idx="54">
                  <c:v>290</c:v>
                </c:pt>
                <c:pt idx="55">
                  <c:v>300</c:v>
                </c:pt>
                <c:pt idx="56">
                  <c:v>310</c:v>
                </c:pt>
                <c:pt idx="57">
                  <c:v>320</c:v>
                </c:pt>
                <c:pt idx="58">
                  <c:v>330</c:v>
                </c:pt>
                <c:pt idx="59">
                  <c:v>340</c:v>
                </c:pt>
                <c:pt idx="60">
                  <c:v>350</c:v>
                </c:pt>
                <c:pt idx="61">
                  <c:v>360</c:v>
                </c:pt>
                <c:pt idx="62">
                  <c:v>370</c:v>
                </c:pt>
                <c:pt idx="63">
                  <c:v>380</c:v>
                </c:pt>
                <c:pt idx="64">
                  <c:v>390</c:v>
                </c:pt>
                <c:pt idx="65">
                  <c:v>400</c:v>
                </c:pt>
                <c:pt idx="66">
                  <c:v>410</c:v>
                </c:pt>
                <c:pt idx="67">
                  <c:v>420</c:v>
                </c:pt>
                <c:pt idx="68">
                  <c:v>430</c:v>
                </c:pt>
                <c:pt idx="69">
                  <c:v>440</c:v>
                </c:pt>
                <c:pt idx="70">
                  <c:v>450</c:v>
                </c:pt>
                <c:pt idx="71">
                  <c:v>460</c:v>
                </c:pt>
                <c:pt idx="72">
                  <c:v>470</c:v>
                </c:pt>
                <c:pt idx="73">
                  <c:v>480</c:v>
                </c:pt>
                <c:pt idx="74">
                  <c:v>490</c:v>
                </c:pt>
                <c:pt idx="75">
                  <c:v>500</c:v>
                </c:pt>
                <c:pt idx="76">
                  <c:v>510</c:v>
                </c:pt>
                <c:pt idx="77">
                  <c:v>520</c:v>
                </c:pt>
                <c:pt idx="78">
                  <c:v>530</c:v>
                </c:pt>
                <c:pt idx="79">
                  <c:v>540</c:v>
                </c:pt>
                <c:pt idx="80">
                  <c:v>550</c:v>
                </c:pt>
                <c:pt idx="81">
                  <c:v>560</c:v>
                </c:pt>
                <c:pt idx="82">
                  <c:v>570</c:v>
                </c:pt>
                <c:pt idx="83">
                  <c:v>580</c:v>
                </c:pt>
                <c:pt idx="84">
                  <c:v>590</c:v>
                </c:pt>
                <c:pt idx="85">
                  <c:v>600</c:v>
                </c:pt>
                <c:pt idx="86">
                  <c:v>610</c:v>
                </c:pt>
                <c:pt idx="87">
                  <c:v>620</c:v>
                </c:pt>
                <c:pt idx="88">
                  <c:v>630</c:v>
                </c:pt>
                <c:pt idx="89">
                  <c:v>640</c:v>
                </c:pt>
                <c:pt idx="90">
                  <c:v>650</c:v>
                </c:pt>
                <c:pt idx="91">
                  <c:v>660</c:v>
                </c:pt>
                <c:pt idx="92">
                  <c:v>670</c:v>
                </c:pt>
                <c:pt idx="93">
                  <c:v>680</c:v>
                </c:pt>
                <c:pt idx="94">
                  <c:v>690</c:v>
                </c:pt>
                <c:pt idx="95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4E-472E-AC94-E5737972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280560"/>
        <c:axId val="1"/>
      </c:scatterChart>
      <c:valAx>
        <c:axId val="35328056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distilled</a:t>
                </a:r>
              </a:p>
            </c:rich>
          </c:tx>
          <c:layout>
            <c:manualLayout>
              <c:xMode val="edge"/>
              <c:yMode val="edge"/>
              <c:x val="0.48508667185832538"/>
              <c:y val="0.9536082474226804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2"/>
      </c:valAx>
      <c:valAx>
        <c:axId val="1"/>
        <c:scaling>
          <c:orientation val="minMax"/>
          <c:max val="700"/>
          <c:min val="0"/>
        </c:scaling>
        <c:delete val="0"/>
        <c:axPos val="l"/>
        <c:majorGridlines>
          <c:spPr>
            <a:ln w="3175">
              <a:solidFill>
                <a:srgbClr val="333333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GB" sz="8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TBP °C</a:t>
                </a:r>
              </a:p>
            </c:rich>
          </c:tx>
          <c:layout>
            <c:manualLayout>
              <c:xMode val="edge"/>
              <c:yMode val="edge"/>
              <c:x val="2.6687598116169546E-2"/>
              <c:y val="0.4832474226804123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53280560"/>
        <c:crossesAt val="0"/>
        <c:crossBetween val="midCat"/>
        <c:majorUnit val="100"/>
        <c:min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773956826825217"/>
          <c:y val="0.11597938144329897"/>
          <c:w val="0.15384631866071685"/>
          <c:h val="5.025773195876290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5014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E57F530-5FA1-43F5-BE2F-EE3B85048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123825</xdr:rowOff>
    </xdr:from>
    <xdr:to>
      <xdr:col>15</xdr:col>
      <xdr:colOff>200025</xdr:colOff>
      <xdr:row>55</xdr:row>
      <xdr:rowOff>66675</xdr:rowOff>
    </xdr:to>
    <xdr:graphicFrame macro="">
      <xdr:nvGraphicFramePr>
        <xdr:cNvPr id="2104" name="Chart 7">
          <a:extLst>
            <a:ext uri="{FF2B5EF4-FFF2-40B4-BE49-F238E27FC236}">
              <a16:creationId xmlns:a16="http://schemas.microsoft.com/office/drawing/2014/main" id="{DF90EC50-E4DB-46B0-9CF5-C55DC136B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762000</xdr:colOff>
      <xdr:row>5</xdr:row>
      <xdr:rowOff>43114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80D28-E50F-47DB-9577-89F3D9F3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161925"/>
          <a:ext cx="762000" cy="6241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3"/>
  <dimension ref="A1:AA94"/>
  <sheetViews>
    <sheetView showGridLines="0" tabSelected="1" topLeftCell="A7" zoomScaleNormal="100" zoomScaleSheetLayoutView="100" workbookViewId="0">
      <selection activeCell="W27" sqref="W26:W27"/>
    </sheetView>
  </sheetViews>
  <sheetFormatPr defaultRowHeight="12.75"/>
  <cols>
    <col min="1" max="1" width="2.7109375" customWidth="1"/>
    <col min="2" max="2" width="22.5703125" customWidth="1"/>
    <col min="3" max="3" width="4.85546875" customWidth="1"/>
    <col min="4" max="4" width="4.5703125" customWidth="1"/>
    <col min="5" max="5" width="5.140625" customWidth="1"/>
    <col min="6" max="6" width="4.85546875" customWidth="1"/>
    <col min="7" max="7" width="5" customWidth="1"/>
    <col min="8" max="8" width="5.28515625" customWidth="1"/>
    <col min="9" max="9" width="4.7109375" customWidth="1"/>
    <col min="10" max="11" width="4.85546875" customWidth="1"/>
    <col min="12" max="12" width="5.140625" customWidth="1"/>
    <col min="13" max="13" width="4.85546875" customWidth="1"/>
    <col min="14" max="15" width="4.5703125" customWidth="1"/>
    <col min="16" max="16" width="5.28515625" customWidth="1"/>
    <col min="17" max="17" width="5.5703125" customWidth="1"/>
    <col min="18" max="18" width="2.5703125" customWidth="1"/>
    <col min="19" max="19" width="2.85546875" customWidth="1"/>
  </cols>
  <sheetData>
    <row r="1" spans="1:2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27">
      <c r="A2" s="4"/>
      <c r="E2" s="5"/>
      <c r="F2" s="5"/>
      <c r="R2" s="6"/>
    </row>
    <row r="3" spans="1:27">
      <c r="A3" s="4"/>
      <c r="R3" s="6"/>
    </row>
    <row r="4" spans="1:27" ht="7.5" customHeight="1">
      <c r="A4" s="4"/>
      <c r="D4" s="27"/>
      <c r="E4" s="27"/>
      <c r="F4" s="27"/>
      <c r="G4" s="27"/>
      <c r="H4" s="27"/>
      <c r="I4" s="27"/>
      <c r="R4" s="6"/>
    </row>
    <row r="5" spans="1:27" ht="15.75" customHeight="1">
      <c r="A5" s="4"/>
      <c r="B5" s="7"/>
      <c r="E5" s="28" t="s">
        <v>1</v>
      </c>
      <c r="F5" s="29" t="s">
        <v>90</v>
      </c>
      <c r="H5" s="30"/>
      <c r="I5" s="27"/>
      <c r="R5" s="6"/>
    </row>
    <row r="6" spans="1:27" ht="15.75" customHeight="1">
      <c r="A6" s="4"/>
      <c r="B6" s="7"/>
      <c r="E6" s="28" t="s">
        <v>0</v>
      </c>
      <c r="F6" s="29" t="s">
        <v>91</v>
      </c>
      <c r="H6" s="30"/>
      <c r="I6" s="27"/>
      <c r="R6" s="6"/>
    </row>
    <row r="7" spans="1:27" ht="5.25" customHeight="1">
      <c r="A7" s="4"/>
      <c r="R7" s="6"/>
    </row>
    <row r="8" spans="1:27" ht="5.25" customHeight="1">
      <c r="A8" s="4"/>
      <c r="R8" s="6"/>
    </row>
    <row r="9" spans="1:27" ht="20.25" customHeight="1">
      <c r="A9" s="4"/>
      <c r="B9" s="9" t="s">
        <v>74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6"/>
      <c r="V9" s="26"/>
      <c r="W9" s="86"/>
      <c r="X9" s="86"/>
      <c r="Y9" s="86"/>
      <c r="Z9" s="86"/>
      <c r="AA9" s="86"/>
    </row>
    <row r="10" spans="1:27" ht="11.25" customHeight="1">
      <c r="A10" s="4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6"/>
      <c r="V10" s="26"/>
      <c r="W10" s="87"/>
      <c r="X10" s="87"/>
      <c r="Y10" s="87"/>
      <c r="Z10" s="87"/>
      <c r="AA10" s="87"/>
    </row>
    <row r="11" spans="1:27" ht="5.0999999999999996" customHeight="1">
      <c r="A11" s="4"/>
      <c r="B11" s="33" t="s">
        <v>2</v>
      </c>
      <c r="C11" s="34" t="s">
        <v>3</v>
      </c>
      <c r="D11" s="34" t="s">
        <v>4</v>
      </c>
      <c r="E11" s="34" t="s">
        <v>5</v>
      </c>
      <c r="F11" s="34"/>
      <c r="G11" s="34"/>
      <c r="H11" s="33"/>
      <c r="I11" s="34"/>
      <c r="J11" s="34"/>
      <c r="K11" s="34"/>
      <c r="L11" s="35"/>
      <c r="M11" s="33"/>
      <c r="N11" s="34"/>
      <c r="O11" s="34"/>
      <c r="P11" s="34"/>
      <c r="Q11" s="35"/>
      <c r="R11" s="6"/>
    </row>
    <row r="12" spans="1:27" ht="9.9499999999999993" customHeight="1">
      <c r="A12" s="4"/>
      <c r="B12" s="36" t="s">
        <v>6</v>
      </c>
      <c r="C12" s="37"/>
      <c r="D12" s="37"/>
      <c r="E12" s="37" t="s">
        <v>5</v>
      </c>
      <c r="F12" s="37"/>
      <c r="G12" s="37"/>
      <c r="H12" s="36" t="s">
        <v>82</v>
      </c>
      <c r="I12" s="37"/>
      <c r="J12" s="37"/>
      <c r="K12" s="37"/>
      <c r="L12" s="38"/>
      <c r="M12" s="36" t="s">
        <v>75</v>
      </c>
      <c r="N12" s="37"/>
      <c r="O12" s="37"/>
      <c r="P12" s="37"/>
      <c r="Q12" s="38"/>
      <c r="R12" s="39"/>
    </row>
    <row r="13" spans="1:27" ht="5.0999999999999996" customHeight="1">
      <c r="A13" s="4"/>
      <c r="B13" s="40"/>
      <c r="C13" s="41"/>
      <c r="D13" s="41"/>
      <c r="E13" s="41" t="s">
        <v>5</v>
      </c>
      <c r="F13" s="41"/>
      <c r="G13" s="41"/>
      <c r="H13" s="40"/>
      <c r="I13" s="41"/>
      <c r="J13" s="41"/>
      <c r="K13" s="41"/>
      <c r="L13" s="42"/>
      <c r="M13" s="40"/>
      <c r="N13" s="41"/>
      <c r="O13" s="41"/>
      <c r="P13" s="41"/>
      <c r="Q13" s="42"/>
      <c r="R13" s="39"/>
    </row>
    <row r="14" spans="1:27" ht="5.0999999999999996" customHeight="1">
      <c r="A14" s="4"/>
      <c r="B14" s="43" t="s">
        <v>2</v>
      </c>
      <c r="C14" s="44" t="s">
        <v>3</v>
      </c>
      <c r="D14" s="44" t="s">
        <v>4</v>
      </c>
      <c r="E14" s="44" t="s">
        <v>5</v>
      </c>
      <c r="F14" s="44"/>
      <c r="G14" s="45"/>
      <c r="H14" s="43"/>
      <c r="I14" s="44"/>
      <c r="J14" s="44"/>
      <c r="K14" s="44"/>
      <c r="L14" s="45"/>
      <c r="M14" s="43"/>
      <c r="N14" s="44"/>
      <c r="O14" s="44"/>
      <c r="P14" s="44"/>
      <c r="Q14" s="46"/>
      <c r="R14" s="39"/>
    </row>
    <row r="15" spans="1:27" ht="9.9499999999999993" customHeight="1">
      <c r="A15" s="4"/>
      <c r="B15" s="36" t="s">
        <v>9</v>
      </c>
      <c r="C15" s="96" t="s">
        <v>90</v>
      </c>
      <c r="D15" s="96"/>
      <c r="E15" s="96"/>
      <c r="F15" s="96"/>
      <c r="G15" s="88"/>
      <c r="H15" s="36" t="s">
        <v>7</v>
      </c>
      <c r="I15" s="37"/>
      <c r="J15" s="37"/>
      <c r="K15" s="37"/>
      <c r="L15" s="47">
        <v>2.2041821408601399E-2</v>
      </c>
      <c r="M15" s="36" t="s">
        <v>8</v>
      </c>
      <c r="N15" s="37"/>
      <c r="O15" s="37"/>
      <c r="P15" s="37"/>
      <c r="Q15" s="48">
        <v>0.72900004788792605</v>
      </c>
      <c r="R15" s="39"/>
    </row>
    <row r="16" spans="1:27" ht="9.9499999999999993" customHeight="1">
      <c r="A16" s="4"/>
      <c r="B16" s="36" t="s">
        <v>0</v>
      </c>
      <c r="C16" s="97" t="s">
        <v>91</v>
      </c>
      <c r="D16" s="97"/>
      <c r="E16" s="97"/>
      <c r="F16" s="97"/>
      <c r="G16" s="89"/>
      <c r="H16" s="36" t="s">
        <v>10</v>
      </c>
      <c r="I16" s="37"/>
      <c r="J16" s="37"/>
      <c r="K16" s="37"/>
      <c r="L16" s="47">
        <v>0.36932653210955702</v>
      </c>
      <c r="M16" s="36" t="s">
        <v>11</v>
      </c>
      <c r="N16" s="37"/>
      <c r="O16" s="37"/>
      <c r="P16" s="37"/>
      <c r="Q16" s="49">
        <v>62.547436483340697</v>
      </c>
      <c r="R16" s="39"/>
    </row>
    <row r="17" spans="1:18" ht="9.9499999999999993" customHeight="1">
      <c r="A17" s="4"/>
      <c r="B17" s="36" t="s">
        <v>12</v>
      </c>
      <c r="C17" s="98" t="s">
        <v>92</v>
      </c>
      <c r="D17" s="98"/>
      <c r="E17" s="98" t="s">
        <v>5</v>
      </c>
      <c r="F17" s="98"/>
      <c r="G17" s="38"/>
      <c r="H17" s="36" t="s">
        <v>13</v>
      </c>
      <c r="I17" s="37"/>
      <c r="J17" s="37"/>
      <c r="K17" s="37"/>
      <c r="L17" s="47">
        <v>0.708876244828756</v>
      </c>
      <c r="M17" s="36" t="s">
        <v>14</v>
      </c>
      <c r="N17" s="37"/>
      <c r="O17" s="37"/>
      <c r="P17" s="37"/>
      <c r="Q17" s="47">
        <v>3.59576530841877E-3</v>
      </c>
      <c r="R17" s="39"/>
    </row>
    <row r="18" spans="1:18" ht="9.9499999999999993" customHeight="1">
      <c r="A18" s="4"/>
      <c r="B18" s="36" t="s">
        <v>15</v>
      </c>
      <c r="C18" s="98" t="s">
        <v>93</v>
      </c>
      <c r="D18" s="98"/>
      <c r="E18" s="98" t="s">
        <v>5</v>
      </c>
      <c r="F18" s="98"/>
      <c r="G18" s="38"/>
      <c r="H18" s="36" t="s">
        <v>16</v>
      </c>
      <c r="I18" s="37"/>
      <c r="J18" s="37"/>
      <c r="K18" s="37"/>
      <c r="L18" s="47">
        <v>2.57473402091065</v>
      </c>
      <c r="M18" s="36" t="s">
        <v>17</v>
      </c>
      <c r="N18" s="37"/>
      <c r="O18" s="37"/>
      <c r="P18" s="37"/>
      <c r="Q18" s="50">
        <v>-37.624626152927</v>
      </c>
      <c r="R18" s="39"/>
    </row>
    <row r="19" spans="1:18" ht="9.9499999999999993" customHeight="1">
      <c r="A19" s="4"/>
      <c r="B19" s="36" t="s">
        <v>20</v>
      </c>
      <c r="C19" s="98" t="s">
        <v>94</v>
      </c>
      <c r="D19" s="98"/>
      <c r="E19" s="98"/>
      <c r="F19" s="98"/>
      <c r="G19" s="38"/>
      <c r="H19" s="36" t="s">
        <v>18</v>
      </c>
      <c r="I19" s="37"/>
      <c r="J19" s="37"/>
      <c r="K19" s="37"/>
      <c r="L19" s="47">
        <v>3.47480277967927</v>
      </c>
      <c r="M19" s="36" t="s">
        <v>19</v>
      </c>
      <c r="N19" s="37"/>
      <c r="O19" s="37"/>
      <c r="P19" s="37"/>
      <c r="Q19" s="50">
        <v>0.711705684990666</v>
      </c>
      <c r="R19" s="39"/>
    </row>
    <row r="20" spans="1:18" ht="9.9499999999999993" customHeight="1">
      <c r="A20" s="4"/>
      <c r="B20" s="36" t="s">
        <v>71</v>
      </c>
      <c r="C20" s="98" t="s">
        <v>95</v>
      </c>
      <c r="D20" s="98"/>
      <c r="E20" s="98"/>
      <c r="F20" s="98"/>
      <c r="G20" s="38"/>
      <c r="H20" s="36" t="s">
        <v>21</v>
      </c>
      <c r="I20" s="37"/>
      <c r="J20" s="37"/>
      <c r="K20" s="37"/>
      <c r="L20" s="47">
        <v>3.6103401019433501</v>
      </c>
      <c r="M20" s="36" t="s">
        <v>22</v>
      </c>
      <c r="N20" s="37"/>
      <c r="O20" s="37"/>
      <c r="P20" s="37"/>
      <c r="Q20" s="50">
        <v>0.59778565284580198</v>
      </c>
      <c r="R20" s="39"/>
    </row>
    <row r="21" spans="1:18" ht="9.9499999999999993" customHeight="1">
      <c r="A21" s="4"/>
      <c r="B21" s="36" t="s">
        <v>72</v>
      </c>
      <c r="C21" s="98" t="s">
        <v>96</v>
      </c>
      <c r="D21" s="98"/>
      <c r="E21" s="98"/>
      <c r="F21" s="98"/>
      <c r="G21" s="38"/>
      <c r="H21" s="36" t="s">
        <v>23</v>
      </c>
      <c r="I21" s="37"/>
      <c r="J21" s="37"/>
      <c r="K21" s="37"/>
      <c r="L21" s="47">
        <v>0.54516756656849497</v>
      </c>
      <c r="M21" s="36" t="s">
        <v>24</v>
      </c>
      <c r="N21" s="37"/>
      <c r="O21" s="37"/>
      <c r="P21" s="37"/>
      <c r="Q21" s="49">
        <v>1.3924975332609201E-6</v>
      </c>
      <c r="R21" s="39"/>
    </row>
    <row r="22" spans="1:18" ht="9.9499999999999993" customHeight="1">
      <c r="A22" s="4"/>
      <c r="B22" s="99" t="s">
        <v>99</v>
      </c>
      <c r="C22" s="98" t="s">
        <v>98</v>
      </c>
      <c r="D22" s="98"/>
      <c r="E22" s="98"/>
      <c r="F22" s="98"/>
      <c r="G22" s="38"/>
      <c r="H22" s="36" t="s">
        <v>85</v>
      </c>
      <c r="I22" s="37"/>
      <c r="J22" s="37"/>
      <c r="K22" s="37"/>
      <c r="L22" s="47">
        <v>10.124785128642801</v>
      </c>
      <c r="M22" s="36" t="s">
        <v>25</v>
      </c>
      <c r="N22" s="37"/>
      <c r="O22" s="37"/>
      <c r="P22" s="37"/>
      <c r="Q22" s="49">
        <v>1.8998679274506001E-7</v>
      </c>
      <c r="R22" s="39"/>
    </row>
    <row r="23" spans="1:18" ht="9.9499999999999993" customHeight="1">
      <c r="A23" s="4"/>
      <c r="B23" s="36" t="s">
        <v>73</v>
      </c>
      <c r="C23" s="98" t="s">
        <v>97</v>
      </c>
      <c r="D23" s="98"/>
      <c r="E23" s="98"/>
      <c r="F23" s="98"/>
      <c r="G23" s="38"/>
      <c r="H23" s="36" t="s">
        <v>86</v>
      </c>
      <c r="I23" s="37"/>
      <c r="J23" s="37"/>
      <c r="K23" s="37"/>
      <c r="L23" s="47">
        <v>8.7526636634618207</v>
      </c>
      <c r="M23" s="36" t="s">
        <v>26</v>
      </c>
      <c r="N23" s="37"/>
      <c r="O23" s="37"/>
      <c r="P23" s="37"/>
      <c r="Q23" s="50">
        <v>0.44525168097812901</v>
      </c>
      <c r="R23" s="39"/>
    </row>
    <row r="24" spans="1:18" ht="9.9499999999999993" customHeight="1">
      <c r="A24" s="4"/>
      <c r="B24" s="95"/>
      <c r="C24" s="98"/>
      <c r="D24" s="98"/>
      <c r="E24" s="98"/>
      <c r="F24" s="98"/>
      <c r="G24" s="38"/>
      <c r="H24" s="36" t="s">
        <v>27</v>
      </c>
      <c r="I24" s="37"/>
      <c r="J24" s="37"/>
      <c r="K24" s="37"/>
      <c r="L24" s="47">
        <v>0.58538696521532896</v>
      </c>
      <c r="M24" s="36" t="s">
        <v>28</v>
      </c>
      <c r="N24" s="37"/>
      <c r="O24" s="37"/>
      <c r="P24" s="37"/>
      <c r="Q24" s="47">
        <v>5.0000000745058101E-2</v>
      </c>
      <c r="R24" s="39"/>
    </row>
    <row r="25" spans="1:18" ht="9.9499999999999993" customHeight="1">
      <c r="A25" s="4"/>
      <c r="B25" s="36" t="s">
        <v>2</v>
      </c>
      <c r="C25" s="98"/>
      <c r="D25" s="98"/>
      <c r="E25" s="98"/>
      <c r="F25" s="98"/>
      <c r="G25" s="38"/>
      <c r="H25" s="36" t="s">
        <v>87</v>
      </c>
      <c r="I25" s="37"/>
      <c r="J25" s="37"/>
      <c r="K25" s="37"/>
      <c r="L25" s="47">
        <v>9.7679763881840707</v>
      </c>
      <c r="M25" s="36" t="s">
        <v>29</v>
      </c>
      <c r="N25" s="37"/>
      <c r="O25" s="37"/>
      <c r="P25" s="37"/>
      <c r="Q25" s="50">
        <v>2</v>
      </c>
      <c r="R25" s="39"/>
    </row>
    <row r="26" spans="1:18" ht="9.9499999999999993" customHeight="1">
      <c r="A26" s="4"/>
      <c r="B26" s="36" t="s">
        <v>2</v>
      </c>
      <c r="C26" s="98"/>
      <c r="D26" s="98"/>
      <c r="E26" s="98"/>
      <c r="F26" s="98"/>
      <c r="G26" s="38"/>
      <c r="H26" s="36" t="s">
        <v>88</v>
      </c>
      <c r="I26" s="37"/>
      <c r="J26" s="37"/>
      <c r="K26" s="37"/>
      <c r="L26" s="47">
        <v>10.0445858213665</v>
      </c>
      <c r="M26" s="36" t="s">
        <v>30</v>
      </c>
      <c r="N26" s="37"/>
      <c r="O26" s="37"/>
      <c r="P26" s="37"/>
      <c r="Q26" s="49" t="s">
        <v>97</v>
      </c>
      <c r="R26" s="39"/>
    </row>
    <row r="27" spans="1:18" ht="9.9499999999999993" customHeight="1">
      <c r="A27" s="4"/>
      <c r="B27" s="36" t="s">
        <v>2</v>
      </c>
      <c r="C27" s="98"/>
      <c r="D27" s="98"/>
      <c r="E27" s="98"/>
      <c r="F27" s="98"/>
      <c r="G27" s="38"/>
      <c r="H27" s="36" t="s">
        <v>31</v>
      </c>
      <c r="I27" s="37"/>
      <c r="J27" s="37"/>
      <c r="K27" s="37"/>
      <c r="L27" s="47">
        <v>1.03327435430501</v>
      </c>
      <c r="M27" s="36" t="s">
        <v>32</v>
      </c>
      <c r="N27" s="37"/>
      <c r="O27" s="37"/>
      <c r="P27" s="37"/>
      <c r="Q27" s="49">
        <v>9.1895070145576803</v>
      </c>
      <c r="R27" s="39"/>
    </row>
    <row r="28" spans="1:18" ht="5.0999999999999996" customHeight="1">
      <c r="A28" s="4"/>
      <c r="B28" s="40"/>
      <c r="C28" s="41"/>
      <c r="D28" s="41"/>
      <c r="E28" s="41"/>
      <c r="F28" s="41"/>
      <c r="G28" s="42"/>
      <c r="H28" s="40"/>
      <c r="I28" s="41"/>
      <c r="J28" s="41"/>
      <c r="K28" s="41"/>
      <c r="L28" s="42"/>
      <c r="M28" s="40"/>
      <c r="N28" s="41"/>
      <c r="O28" s="41"/>
      <c r="P28" s="41"/>
      <c r="Q28" s="42"/>
      <c r="R28" s="39"/>
    </row>
    <row r="29" spans="1:18" ht="2.1" customHeight="1">
      <c r="A29" s="4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9"/>
    </row>
    <row r="30" spans="1:18" ht="2.1" customHeight="1">
      <c r="A30" s="4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9"/>
    </row>
    <row r="31" spans="1:18" ht="9.9499999999999993" customHeight="1">
      <c r="A31" s="4"/>
      <c r="B31" s="43" t="s">
        <v>33</v>
      </c>
      <c r="C31" s="51" t="s">
        <v>34</v>
      </c>
      <c r="D31" s="43"/>
      <c r="E31" s="43" t="s">
        <v>35</v>
      </c>
      <c r="F31" s="44"/>
      <c r="G31" s="44" t="s">
        <v>36</v>
      </c>
      <c r="H31" s="44" t="s">
        <v>5</v>
      </c>
      <c r="I31" s="44"/>
      <c r="J31" s="44"/>
      <c r="K31" s="44"/>
      <c r="L31" s="44"/>
      <c r="M31" s="45"/>
      <c r="N31" s="44"/>
      <c r="O31" s="44"/>
      <c r="P31" s="44"/>
      <c r="Q31" s="45"/>
      <c r="R31" s="52"/>
    </row>
    <row r="32" spans="1:18" ht="9.9499999999999993" customHeight="1">
      <c r="A32" s="4"/>
      <c r="B32" s="36" t="s">
        <v>37</v>
      </c>
      <c r="C32" s="53"/>
      <c r="D32" s="36"/>
      <c r="E32" s="92" t="s">
        <v>38</v>
      </c>
      <c r="F32" s="93"/>
      <c r="G32" s="93"/>
      <c r="H32" s="93"/>
      <c r="I32" s="93"/>
      <c r="J32" s="93"/>
      <c r="K32" s="93"/>
      <c r="L32" s="93"/>
      <c r="M32" s="94"/>
      <c r="N32" s="90" t="s">
        <v>39</v>
      </c>
      <c r="O32" s="90"/>
      <c r="P32" s="90"/>
      <c r="Q32" s="91"/>
      <c r="R32" s="52"/>
    </row>
    <row r="33" spans="1:18" ht="5.0999999999999996" customHeight="1">
      <c r="A33" s="4"/>
      <c r="B33" s="36" t="s">
        <v>33</v>
      </c>
      <c r="C33" s="53" t="s">
        <v>34</v>
      </c>
      <c r="D33" s="36"/>
      <c r="E33" s="36"/>
      <c r="F33" s="37"/>
      <c r="G33" s="37" t="s">
        <v>5</v>
      </c>
      <c r="H33" s="37"/>
      <c r="I33" s="37"/>
      <c r="J33" s="37"/>
      <c r="K33" s="37"/>
      <c r="L33" s="37"/>
      <c r="M33" s="38"/>
      <c r="N33" s="37"/>
      <c r="O33" s="37"/>
      <c r="P33" s="37"/>
      <c r="Q33" s="38"/>
      <c r="R33" s="52"/>
    </row>
    <row r="34" spans="1:18" ht="5.0999999999999996" customHeight="1">
      <c r="A34" s="4"/>
      <c r="B34" s="36" t="s">
        <v>33</v>
      </c>
      <c r="C34" s="53" t="s">
        <v>34</v>
      </c>
      <c r="D34" s="36"/>
      <c r="E34" s="36" t="s">
        <v>34</v>
      </c>
      <c r="F34" s="37" t="s">
        <v>34</v>
      </c>
      <c r="G34" s="37" t="s">
        <v>34</v>
      </c>
      <c r="H34" s="37" t="s">
        <v>34</v>
      </c>
      <c r="I34" s="37" t="s">
        <v>34</v>
      </c>
      <c r="J34" s="37" t="s">
        <v>34</v>
      </c>
      <c r="K34" s="37" t="s">
        <v>34</v>
      </c>
      <c r="L34" s="37" t="s">
        <v>34</v>
      </c>
      <c r="M34" s="38" t="s">
        <v>34</v>
      </c>
      <c r="N34" s="37" t="s">
        <v>34</v>
      </c>
      <c r="O34" s="37" t="s">
        <v>34</v>
      </c>
      <c r="P34" s="37" t="s">
        <v>34</v>
      </c>
      <c r="Q34" s="38" t="s">
        <v>34</v>
      </c>
      <c r="R34" s="52" t="s">
        <v>5</v>
      </c>
    </row>
    <row r="35" spans="1:18" ht="9.9499999999999993" customHeight="1">
      <c r="A35" s="4"/>
      <c r="B35" s="36" t="s">
        <v>40</v>
      </c>
      <c r="C35" s="54" t="s">
        <v>41</v>
      </c>
      <c r="D35" s="55" t="s">
        <v>80</v>
      </c>
      <c r="E35" s="56" t="s">
        <v>42</v>
      </c>
      <c r="F35" s="57">
        <v>65</v>
      </c>
      <c r="G35" s="57">
        <v>100</v>
      </c>
      <c r="H35" s="57">
        <v>150</v>
      </c>
      <c r="I35" s="57">
        <v>200</v>
      </c>
      <c r="J35" s="57">
        <v>250</v>
      </c>
      <c r="K35" s="57">
        <v>300</v>
      </c>
      <c r="L35" s="57">
        <v>350</v>
      </c>
      <c r="M35" s="58">
        <v>370</v>
      </c>
      <c r="N35" s="57">
        <v>370</v>
      </c>
      <c r="O35" s="57">
        <v>450</v>
      </c>
      <c r="P35" s="57">
        <v>500</v>
      </c>
      <c r="Q35" s="58">
        <v>550</v>
      </c>
      <c r="R35" s="52" t="s">
        <v>5</v>
      </c>
    </row>
    <row r="36" spans="1:18" ht="9.9499999999999993" customHeight="1">
      <c r="A36" s="4"/>
      <c r="B36" s="36" t="s">
        <v>43</v>
      </c>
      <c r="C36" s="54" t="s">
        <v>44</v>
      </c>
      <c r="D36" s="55" t="s">
        <v>81</v>
      </c>
      <c r="E36" s="56">
        <v>65</v>
      </c>
      <c r="F36" s="57">
        <v>100</v>
      </c>
      <c r="G36" s="57">
        <v>150</v>
      </c>
      <c r="H36" s="57">
        <v>200</v>
      </c>
      <c r="I36" s="57">
        <v>250</v>
      </c>
      <c r="J36" s="57">
        <v>300</v>
      </c>
      <c r="K36" s="57">
        <v>350</v>
      </c>
      <c r="L36" s="57">
        <v>370</v>
      </c>
      <c r="M36" s="58" t="s">
        <v>45</v>
      </c>
      <c r="N36" s="57">
        <v>450</v>
      </c>
      <c r="O36" s="57">
        <v>500</v>
      </c>
      <c r="P36" s="57">
        <v>550</v>
      </c>
      <c r="Q36" s="58" t="s">
        <v>45</v>
      </c>
      <c r="R36" s="52" t="s">
        <v>5</v>
      </c>
    </row>
    <row r="37" spans="1:18" ht="5.0999999999999996" customHeight="1">
      <c r="A37" s="4"/>
      <c r="B37" s="40"/>
      <c r="C37" s="59"/>
      <c r="D37" s="40"/>
      <c r="E37" s="40"/>
      <c r="F37" s="41"/>
      <c r="G37" s="41"/>
      <c r="H37" s="41"/>
      <c r="I37" s="41"/>
      <c r="J37" s="41"/>
      <c r="K37" s="41"/>
      <c r="L37" s="41"/>
      <c r="M37" s="42"/>
      <c r="N37" s="41"/>
      <c r="O37" s="41"/>
      <c r="P37" s="41"/>
      <c r="Q37" s="42"/>
      <c r="R37" s="52"/>
    </row>
    <row r="38" spans="1:18" ht="5.0999999999999996" customHeight="1">
      <c r="A38" s="4"/>
      <c r="B38" s="43" t="s">
        <v>33</v>
      </c>
      <c r="C38" s="51" t="s">
        <v>34</v>
      </c>
      <c r="D38" s="43"/>
      <c r="E38" s="43" t="s">
        <v>34</v>
      </c>
      <c r="F38" s="44" t="s">
        <v>34</v>
      </c>
      <c r="G38" s="44" t="s">
        <v>34</v>
      </c>
      <c r="H38" s="44" t="s">
        <v>34</v>
      </c>
      <c r="I38" s="44" t="s">
        <v>34</v>
      </c>
      <c r="J38" s="44" t="s">
        <v>34</v>
      </c>
      <c r="K38" s="44" t="s">
        <v>34</v>
      </c>
      <c r="L38" s="44" t="s">
        <v>34</v>
      </c>
      <c r="M38" s="44" t="s">
        <v>34</v>
      </c>
      <c r="N38" s="43" t="s">
        <v>34</v>
      </c>
      <c r="O38" s="44" t="s">
        <v>34</v>
      </c>
      <c r="P38" s="44" t="s">
        <v>34</v>
      </c>
      <c r="Q38" s="45" t="s">
        <v>34</v>
      </c>
      <c r="R38" s="52" t="s">
        <v>5</v>
      </c>
    </row>
    <row r="39" spans="1:18" ht="9.9499999999999993" customHeight="1">
      <c r="A39" s="4"/>
      <c r="B39" s="36" t="s">
        <v>46</v>
      </c>
      <c r="C39" s="53"/>
      <c r="D39" s="60">
        <v>3.7190499061978199</v>
      </c>
      <c r="E39" s="61">
        <v>12.769824955461599</v>
      </c>
      <c r="F39" s="61">
        <v>27.473802750033801</v>
      </c>
      <c r="G39" s="61">
        <v>31.348603497287101</v>
      </c>
      <c r="H39" s="61">
        <v>16.423847043739698</v>
      </c>
      <c r="I39" s="61">
        <v>5.9310189801907196</v>
      </c>
      <c r="J39" s="61">
        <v>1.6021500876620201</v>
      </c>
      <c r="K39" s="61">
        <v>0.54379361727026398</v>
      </c>
      <c r="L39" s="61">
        <v>8.6510519571303499E-2</v>
      </c>
      <c r="M39" s="61">
        <v>0.101398642585645</v>
      </c>
      <c r="N39" s="62">
        <v>9.5802880922319797E-2</v>
      </c>
      <c r="O39" s="61">
        <v>4.9526959403364901E-3</v>
      </c>
      <c r="P39" s="61">
        <v>5.8565435731715895E-4</v>
      </c>
      <c r="Q39" s="49">
        <v>5.7411365671831502E-5</v>
      </c>
      <c r="R39" s="52" t="s">
        <v>5</v>
      </c>
    </row>
    <row r="40" spans="1:18" ht="9.9499999999999993" customHeight="1">
      <c r="A40" s="4"/>
      <c r="B40" s="36" t="s">
        <v>47</v>
      </c>
      <c r="C40" s="53"/>
      <c r="D40" s="60">
        <v>4.7525954286825103</v>
      </c>
      <c r="E40" s="61">
        <v>14.4072335104559</v>
      </c>
      <c r="F40" s="61">
        <v>27.802098721903899</v>
      </c>
      <c r="G40" s="61">
        <v>30.139083464679999</v>
      </c>
      <c r="H40" s="61">
        <v>15.434301832007099</v>
      </c>
      <c r="I40" s="61">
        <v>5.4054976142365696</v>
      </c>
      <c r="J40" s="61">
        <v>1.4225378684241199</v>
      </c>
      <c r="K40" s="61">
        <v>0.47467333395379302</v>
      </c>
      <c r="L40" s="61">
        <v>7.4926807217871302E-2</v>
      </c>
      <c r="M40" s="61">
        <v>8.7051418438354705E-2</v>
      </c>
      <c r="N40" s="62">
        <v>8.2352819134797597E-2</v>
      </c>
      <c r="O40" s="61">
        <v>4.16893954311037E-3</v>
      </c>
      <c r="P40" s="61">
        <v>4.8363099787549299E-4</v>
      </c>
      <c r="Q40" s="49">
        <v>4.6028762571109998E-5</v>
      </c>
      <c r="R40" s="52" t="s">
        <v>5</v>
      </c>
    </row>
    <row r="41" spans="1:18" ht="9.9499999999999993" customHeight="1">
      <c r="A41" s="4"/>
      <c r="B41" s="36" t="s">
        <v>48</v>
      </c>
      <c r="C41" s="53"/>
      <c r="D41" s="60">
        <v>3.7190499061978199</v>
      </c>
      <c r="E41" s="61">
        <v>16.488874861659401</v>
      </c>
      <c r="F41" s="61">
        <v>43.962677611693302</v>
      </c>
      <c r="G41" s="61">
        <v>75.311281108980396</v>
      </c>
      <c r="H41" s="61">
        <v>91.735128152720094</v>
      </c>
      <c r="I41" s="61">
        <v>97.666147132910794</v>
      </c>
      <c r="J41" s="61">
        <v>99.268297220572805</v>
      </c>
      <c r="K41" s="61">
        <v>99.812090837843101</v>
      </c>
      <c r="L41" s="61">
        <v>99.898601357414407</v>
      </c>
      <c r="M41" s="61">
        <v>100</v>
      </c>
      <c r="N41" s="62"/>
      <c r="O41" s="61"/>
      <c r="P41" s="61"/>
      <c r="Q41" s="49"/>
      <c r="R41" s="52" t="s">
        <v>5</v>
      </c>
    </row>
    <row r="42" spans="1:18" ht="9.9499999999999993" customHeight="1">
      <c r="A42" s="4"/>
      <c r="B42" s="36" t="s">
        <v>8</v>
      </c>
      <c r="C42" s="63">
        <v>0.72900004788792605</v>
      </c>
      <c r="D42" s="63"/>
      <c r="E42" s="64">
        <v>0.64549289075610605</v>
      </c>
      <c r="F42" s="64">
        <v>0.71966156558454297</v>
      </c>
      <c r="G42" s="64">
        <v>0.75748715402608802</v>
      </c>
      <c r="H42" s="64">
        <v>0.77495238157226898</v>
      </c>
      <c r="I42" s="64">
        <v>0.79906249754060299</v>
      </c>
      <c r="J42" s="64">
        <v>0.82021267469764003</v>
      </c>
      <c r="K42" s="64">
        <v>0.834307956984225</v>
      </c>
      <c r="L42" s="64">
        <v>0.84085054119357705</v>
      </c>
      <c r="M42" s="64">
        <v>0.848288156711687</v>
      </c>
      <c r="N42" s="65">
        <v>0.84720246930802301</v>
      </c>
      <c r="O42" s="64">
        <v>0.86517345016549396</v>
      </c>
      <c r="P42" s="64">
        <v>0.88188989141714902</v>
      </c>
      <c r="Q42" s="48">
        <v>0.90835517076875805</v>
      </c>
      <c r="R42" s="52" t="s">
        <v>5</v>
      </c>
    </row>
    <row r="43" spans="1:18" ht="9.9499999999999993" customHeight="1">
      <c r="A43" s="4"/>
      <c r="B43" s="36" t="s">
        <v>11</v>
      </c>
      <c r="C43" s="66">
        <v>62.547436483340697</v>
      </c>
      <c r="D43" s="66"/>
      <c r="E43" s="61">
        <v>87.694672390750299</v>
      </c>
      <c r="F43" s="61">
        <v>65.078925144198706</v>
      </c>
      <c r="G43" s="61">
        <v>55.252707090780099</v>
      </c>
      <c r="H43" s="61">
        <v>51.031438916047897</v>
      </c>
      <c r="I43" s="61">
        <v>45.511135378542001</v>
      </c>
      <c r="J43" s="61">
        <v>40.9421439256718</v>
      </c>
      <c r="K43" s="61">
        <v>38.0260156002415</v>
      </c>
      <c r="L43" s="61">
        <v>36.705873375598699</v>
      </c>
      <c r="M43" s="61">
        <v>35.230181086015797</v>
      </c>
      <c r="N43" s="62">
        <v>35.443975327348298</v>
      </c>
      <c r="O43" s="61">
        <v>31.974235958437902</v>
      </c>
      <c r="P43" s="61">
        <v>28.873755320234199</v>
      </c>
      <c r="Q43" s="49">
        <v>24.198618664127</v>
      </c>
      <c r="R43" s="52" t="s">
        <v>5</v>
      </c>
    </row>
    <row r="44" spans="1:18" ht="9.9499999999999993" customHeight="1">
      <c r="A44" s="4"/>
      <c r="B44" s="36" t="s">
        <v>49</v>
      </c>
      <c r="C44" s="66">
        <v>12.122948781143799</v>
      </c>
      <c r="D44" s="66"/>
      <c r="E44" s="61"/>
      <c r="F44" s="61"/>
      <c r="G44" s="61">
        <v>11.7840752039154</v>
      </c>
      <c r="H44" s="61">
        <v>11.984560165149601</v>
      </c>
      <c r="I44" s="61">
        <v>12.016519394394001</v>
      </c>
      <c r="J44" s="61">
        <v>12.099164292275001</v>
      </c>
      <c r="K44" s="61">
        <v>12.246928695506099</v>
      </c>
      <c r="L44" s="61">
        <v>12.411238659570801</v>
      </c>
      <c r="M44" s="61">
        <v>12.553250817030101</v>
      </c>
      <c r="N44" s="62">
        <v>12.542741495907601</v>
      </c>
      <c r="O44" s="61">
        <v>12.713042803893</v>
      </c>
      <c r="P44" s="61">
        <v>12.741473922089501</v>
      </c>
      <c r="Q44" s="49">
        <v>12.668575643303599</v>
      </c>
      <c r="R44" s="52" t="s">
        <v>5</v>
      </c>
    </row>
    <row r="45" spans="1:18" ht="5.0999999999999996" customHeight="1">
      <c r="A45" s="4"/>
      <c r="B45" s="40"/>
      <c r="C45" s="59"/>
      <c r="D45" s="59"/>
      <c r="E45" s="41"/>
      <c r="F45" s="41"/>
      <c r="G45" s="41"/>
      <c r="H45" s="41"/>
      <c r="I45" s="41"/>
      <c r="J45" s="41"/>
      <c r="K45" s="41"/>
      <c r="L45" s="41"/>
      <c r="M45" s="42"/>
      <c r="N45" s="41"/>
      <c r="O45" s="41"/>
      <c r="P45" s="41"/>
      <c r="Q45" s="42"/>
      <c r="R45" s="52"/>
    </row>
    <row r="46" spans="1:18" ht="5.0999999999999996" customHeight="1">
      <c r="A46" s="4"/>
      <c r="B46" s="43" t="s">
        <v>50</v>
      </c>
      <c r="C46" s="51"/>
      <c r="D46" s="51"/>
      <c r="E46" s="44"/>
      <c r="F46" s="44"/>
      <c r="G46" s="44"/>
      <c r="H46" s="44"/>
      <c r="I46" s="44"/>
      <c r="J46" s="44"/>
      <c r="K46" s="44"/>
      <c r="L46" s="44"/>
      <c r="M46" s="45"/>
      <c r="N46" s="44"/>
      <c r="O46" s="44"/>
      <c r="P46" s="44"/>
      <c r="Q46" s="45"/>
      <c r="R46" s="52" t="s">
        <v>5</v>
      </c>
    </row>
    <row r="47" spans="1:18" ht="9.9499999999999993" customHeight="1">
      <c r="A47" s="4"/>
      <c r="B47" s="36" t="s">
        <v>14</v>
      </c>
      <c r="C47" s="67">
        <v>3.59576530841877E-3</v>
      </c>
      <c r="D47" s="67"/>
      <c r="E47" s="68">
        <v>1.2142894493963399E-3</v>
      </c>
      <c r="F47" s="68">
        <v>1.67509135106562E-3</v>
      </c>
      <c r="G47" s="68">
        <v>2.29576135062203E-3</v>
      </c>
      <c r="H47" s="68">
        <v>4.3087810874500596E-3</v>
      </c>
      <c r="I47" s="68">
        <v>1.07609566739455E-2</v>
      </c>
      <c r="J47" s="68">
        <v>3.3636037029200302E-2</v>
      </c>
      <c r="K47" s="68">
        <v>4.9705644278448598E-2</v>
      </c>
      <c r="L47" s="68">
        <v>5.3034315252510303E-2</v>
      </c>
      <c r="M47" s="68">
        <v>5.8998893435611301E-2</v>
      </c>
      <c r="N47" s="69">
        <v>5.7905929481950801E-2</v>
      </c>
      <c r="O47" s="68">
        <v>7.5058739373496997E-2</v>
      </c>
      <c r="P47" s="68">
        <v>9.53358931577208E-2</v>
      </c>
      <c r="Q47" s="70">
        <v>0.12673181463234501</v>
      </c>
      <c r="R47" s="52" t="s">
        <v>5</v>
      </c>
    </row>
    <row r="48" spans="1:18" ht="9.9499999999999993" customHeight="1">
      <c r="A48" s="4"/>
      <c r="B48" s="36" t="s">
        <v>29</v>
      </c>
      <c r="C48" s="71">
        <v>2</v>
      </c>
      <c r="D48" s="66"/>
      <c r="E48" s="61">
        <v>0.24054649621485699</v>
      </c>
      <c r="F48" s="61">
        <v>1.1080743807528399</v>
      </c>
      <c r="G48" s="61">
        <v>1.9753790966328999</v>
      </c>
      <c r="H48" s="61">
        <v>2.94899509825802</v>
      </c>
      <c r="I48" s="61">
        <v>3.0592591993974798</v>
      </c>
      <c r="J48" s="61">
        <v>2.68771693019522</v>
      </c>
      <c r="K48" s="61"/>
      <c r="L48" s="61"/>
      <c r="M48" s="49"/>
      <c r="N48" s="61"/>
      <c r="O48" s="61"/>
      <c r="P48" s="61"/>
      <c r="Q48" s="49"/>
      <c r="R48" s="52" t="s">
        <v>5</v>
      </c>
    </row>
    <row r="49" spans="1:18" ht="9.9499999999999993" customHeight="1">
      <c r="A49" s="4"/>
      <c r="B49" s="36" t="s">
        <v>26</v>
      </c>
      <c r="C49" s="71">
        <v>0.44525168097812901</v>
      </c>
      <c r="D49" s="71"/>
      <c r="E49" s="72"/>
      <c r="F49" s="72"/>
      <c r="G49" s="72"/>
      <c r="H49" s="72"/>
      <c r="I49" s="72">
        <v>1.8130426846544501</v>
      </c>
      <c r="J49" s="72">
        <v>6.8768172045680398</v>
      </c>
      <c r="K49" s="72">
        <v>17.0767655338807</v>
      </c>
      <c r="L49" s="72">
        <v>34.108900105279403</v>
      </c>
      <c r="M49" s="72">
        <v>83.662005397191606</v>
      </c>
      <c r="N49" s="73">
        <v>70.990747854394499</v>
      </c>
      <c r="O49" s="72">
        <v>263.58829073944798</v>
      </c>
      <c r="P49" s="72">
        <v>547.37290070422102</v>
      </c>
      <c r="Q49" s="50">
        <v>976.31605677722098</v>
      </c>
      <c r="R49" s="52" t="s">
        <v>5</v>
      </c>
    </row>
    <row r="50" spans="1:18" ht="9.9499999999999993" customHeight="1">
      <c r="A50" s="4"/>
      <c r="B50" s="36" t="s">
        <v>51</v>
      </c>
      <c r="C50" s="71">
        <v>0.55922277758064998</v>
      </c>
      <c r="D50" s="53"/>
      <c r="E50" s="37"/>
      <c r="F50" s="37"/>
      <c r="G50" s="37"/>
      <c r="H50" s="37"/>
      <c r="I50" s="37">
        <v>2.4282514983814099</v>
      </c>
      <c r="J50" s="37">
        <v>8.9889239724444199</v>
      </c>
      <c r="K50" s="37">
        <v>21.0112139870342</v>
      </c>
      <c r="L50" s="37">
        <v>31.4308130978409</v>
      </c>
      <c r="M50" s="38">
        <v>35.3268807002489</v>
      </c>
      <c r="N50" s="37">
        <v>34.399536922743899</v>
      </c>
      <c r="O50" s="37">
        <v>45.779021922021002</v>
      </c>
      <c r="P50" s="37">
        <v>82.872396866800599</v>
      </c>
      <c r="Q50" s="38">
        <v>196.108448454669</v>
      </c>
      <c r="R50" s="52" t="s">
        <v>5</v>
      </c>
    </row>
    <row r="51" spans="1:18" ht="9.9499999999999993" customHeight="1">
      <c r="A51" s="4"/>
      <c r="B51" s="36" t="s">
        <v>28</v>
      </c>
      <c r="C51" s="74">
        <v>5.0000000745058101E-2</v>
      </c>
      <c r="D51" s="74"/>
      <c r="E51" s="75">
        <v>1.2248991451869E-3</v>
      </c>
      <c r="F51" s="75">
        <v>6.1516551176787199E-3</v>
      </c>
      <c r="G51" s="75">
        <v>1.7978306546939399E-2</v>
      </c>
      <c r="H51" s="75">
        <v>3.95218685633731E-2</v>
      </c>
      <c r="I51" s="75">
        <v>5.9615254101039503E-2</v>
      </c>
      <c r="J51" s="75">
        <v>8.0919765836351798E-2</v>
      </c>
      <c r="K51" s="75">
        <v>9.86550941832567E-2</v>
      </c>
      <c r="L51" s="75">
        <v>0.107576942014312</v>
      </c>
      <c r="M51" s="75">
        <v>0.10769456183586899</v>
      </c>
      <c r="N51" s="76">
        <v>0.10861456221605301</v>
      </c>
      <c r="O51" s="75">
        <v>9.4458599977777502E-2</v>
      </c>
      <c r="P51" s="75">
        <v>7.47436728265157E-2</v>
      </c>
      <c r="Q51" s="47">
        <v>5.0438293046929497E-2</v>
      </c>
      <c r="R51" s="52" t="s">
        <v>5</v>
      </c>
    </row>
    <row r="52" spans="1:18" ht="5.0999999999999996" customHeight="1">
      <c r="A52" s="4"/>
      <c r="B52" s="40"/>
      <c r="C52" s="59"/>
      <c r="D52" s="59"/>
      <c r="E52" s="41"/>
      <c r="F52" s="41"/>
      <c r="G52" s="41"/>
      <c r="H52" s="41"/>
      <c r="I52" s="41"/>
      <c r="J52" s="41"/>
      <c r="K52" s="41"/>
      <c r="L52" s="41"/>
      <c r="M52" s="42"/>
      <c r="N52" s="41"/>
      <c r="O52" s="41"/>
      <c r="P52" s="41"/>
      <c r="Q52" s="42"/>
      <c r="R52" s="52"/>
    </row>
    <row r="53" spans="1:18" ht="5.0999999999999996" customHeight="1">
      <c r="A53" s="4"/>
      <c r="B53" s="43" t="s">
        <v>50</v>
      </c>
      <c r="C53" s="51"/>
      <c r="D53" s="51"/>
      <c r="E53" s="44"/>
      <c r="F53" s="44"/>
      <c r="G53" s="44"/>
      <c r="H53" s="44"/>
      <c r="I53" s="44"/>
      <c r="J53" s="44"/>
      <c r="K53" s="44"/>
      <c r="L53" s="44"/>
      <c r="M53" s="45"/>
      <c r="N53" s="44"/>
      <c r="O53" s="44"/>
      <c r="P53" s="44"/>
      <c r="Q53" s="45"/>
      <c r="R53" s="52" t="s">
        <v>5</v>
      </c>
    </row>
    <row r="54" spans="1:18" ht="9.9499999999999993" customHeight="1">
      <c r="A54" s="4"/>
      <c r="B54" s="36" t="s">
        <v>19</v>
      </c>
      <c r="C54" s="77">
        <v>0.711705684990666</v>
      </c>
      <c r="D54" s="77"/>
      <c r="E54" s="78"/>
      <c r="F54" s="78"/>
      <c r="G54" s="78"/>
      <c r="H54" s="78">
        <v>1.2439455214149</v>
      </c>
      <c r="I54" s="78"/>
      <c r="J54" s="78"/>
      <c r="K54" s="78"/>
      <c r="L54" s="78"/>
      <c r="M54" s="79"/>
      <c r="N54" s="78"/>
      <c r="O54" s="78"/>
      <c r="P54" s="78"/>
      <c r="Q54" s="79"/>
      <c r="R54" s="52" t="s">
        <v>5</v>
      </c>
    </row>
    <row r="55" spans="1:18" ht="9.9499999999999993" customHeight="1">
      <c r="A55" s="4"/>
      <c r="B55" s="36" t="s">
        <v>22</v>
      </c>
      <c r="C55" s="77">
        <v>0.59778565284580198</v>
      </c>
      <c r="D55" s="77"/>
      <c r="E55" s="78"/>
      <c r="F55" s="78"/>
      <c r="G55" s="78"/>
      <c r="H55" s="78">
        <v>0.95496211557791899</v>
      </c>
      <c r="I55" s="78">
        <v>1.7096872102974201</v>
      </c>
      <c r="J55" s="78">
        <v>2.9967844067671798</v>
      </c>
      <c r="K55" s="78">
        <v>5.9266190852547203</v>
      </c>
      <c r="L55" s="78">
        <v>11.2780704492366</v>
      </c>
      <c r="M55" s="79"/>
      <c r="N55" s="78"/>
      <c r="O55" s="78"/>
      <c r="P55" s="78"/>
      <c r="Q55" s="79"/>
      <c r="R55" s="52" t="s">
        <v>5</v>
      </c>
    </row>
    <row r="56" spans="1:18" ht="9.9499999999999993" customHeight="1">
      <c r="A56" s="4"/>
      <c r="B56" s="36" t="s">
        <v>52</v>
      </c>
      <c r="C56" s="77">
        <v>0.55480761852996396</v>
      </c>
      <c r="D56" s="77"/>
      <c r="E56" s="78"/>
      <c r="F56" s="78"/>
      <c r="G56" s="78"/>
      <c r="H56" s="78"/>
      <c r="I56" s="78">
        <v>1.4852849777134201</v>
      </c>
      <c r="J56" s="78">
        <v>2.51358578279789</v>
      </c>
      <c r="K56" s="78">
        <v>4.7410440960032103</v>
      </c>
      <c r="L56" s="78">
        <v>8.5357781865680096</v>
      </c>
      <c r="M56" s="78">
        <v>15.739187697979199</v>
      </c>
      <c r="N56" s="80">
        <v>14.797388079399999</v>
      </c>
      <c r="O56" s="78">
        <v>49.473039962029702</v>
      </c>
      <c r="P56" s="78">
        <v>129.35872606497799</v>
      </c>
      <c r="Q56" s="79"/>
      <c r="R56" s="52" t="s">
        <v>5</v>
      </c>
    </row>
    <row r="57" spans="1:18" ht="9.9499999999999993" customHeight="1">
      <c r="A57" s="4"/>
      <c r="B57" s="36" t="s">
        <v>53</v>
      </c>
      <c r="C57" s="77"/>
      <c r="D57" s="77"/>
      <c r="E57" s="78"/>
      <c r="F57" s="78"/>
      <c r="G57" s="78"/>
      <c r="H57" s="78"/>
      <c r="I57" s="78"/>
      <c r="J57" s="78"/>
      <c r="K57" s="78"/>
      <c r="L57" s="78"/>
      <c r="M57" s="78">
        <v>11.659236500580199</v>
      </c>
      <c r="N57" s="80">
        <v>11.020326168976201</v>
      </c>
      <c r="O57" s="78">
        <v>33.103724912077702</v>
      </c>
      <c r="P57" s="78">
        <v>78.621253970476104</v>
      </c>
      <c r="Q57" s="79"/>
      <c r="R57" s="52" t="s">
        <v>5</v>
      </c>
    </row>
    <row r="58" spans="1:18" ht="9.9499999999999993" customHeight="1">
      <c r="A58" s="4"/>
      <c r="B58" s="36" t="s">
        <v>54</v>
      </c>
      <c r="C58" s="77"/>
      <c r="D58" s="77"/>
      <c r="E58" s="78"/>
      <c r="F58" s="78"/>
      <c r="G58" s="78"/>
      <c r="H58" s="78"/>
      <c r="I58" s="78"/>
      <c r="J58" s="78"/>
      <c r="K58" s="78"/>
      <c r="L58" s="78"/>
      <c r="M58" s="78">
        <v>4.6283097669693696</v>
      </c>
      <c r="N58" s="80">
        <v>4.4402655346748796</v>
      </c>
      <c r="O58" s="78">
        <v>9.7898940111429393</v>
      </c>
      <c r="P58" s="78">
        <v>17.936610796582801</v>
      </c>
      <c r="Q58" s="79">
        <v>45.704832986204003</v>
      </c>
      <c r="R58" s="52" t="s">
        <v>5</v>
      </c>
    </row>
    <row r="59" spans="1:18" ht="9.9499999999999993" customHeight="1">
      <c r="A59" s="4"/>
      <c r="B59" s="36" t="s">
        <v>55</v>
      </c>
      <c r="C59" s="77"/>
      <c r="D59" s="77"/>
      <c r="E59" s="78"/>
      <c r="F59" s="78"/>
      <c r="G59" s="78"/>
      <c r="H59" s="78"/>
      <c r="I59" s="78"/>
      <c r="J59" s="78"/>
      <c r="K59" s="78"/>
      <c r="L59" s="78"/>
      <c r="M59" s="79"/>
      <c r="N59" s="78"/>
      <c r="O59" s="78"/>
      <c r="P59" s="78"/>
      <c r="Q59" s="79">
        <v>17.8103298758272</v>
      </c>
      <c r="R59" s="52" t="s">
        <v>5</v>
      </c>
    </row>
    <row r="60" spans="1:18" ht="5.0999999999999996" customHeight="1">
      <c r="A60" s="4"/>
      <c r="B60" s="40"/>
      <c r="C60" s="59"/>
      <c r="D60" s="59"/>
      <c r="E60" s="41"/>
      <c r="F60" s="41"/>
      <c r="G60" s="41"/>
      <c r="H60" s="41"/>
      <c r="I60" s="41"/>
      <c r="J60" s="41"/>
      <c r="K60" s="41"/>
      <c r="L60" s="41"/>
      <c r="M60" s="42"/>
      <c r="N60" s="41"/>
      <c r="O60" s="41"/>
      <c r="P60" s="41"/>
      <c r="Q60" s="42"/>
      <c r="R60" s="52"/>
    </row>
    <row r="61" spans="1:18" ht="5.0999999999999996" customHeight="1">
      <c r="A61" s="4"/>
      <c r="B61" s="43" t="s">
        <v>50</v>
      </c>
      <c r="C61" s="51"/>
      <c r="D61" s="51"/>
      <c r="E61" s="44"/>
      <c r="F61" s="44"/>
      <c r="G61" s="44"/>
      <c r="H61" s="44"/>
      <c r="I61" s="44"/>
      <c r="J61" s="44"/>
      <c r="K61" s="44"/>
      <c r="L61" s="44"/>
      <c r="M61" s="45"/>
      <c r="N61" s="44"/>
      <c r="O61" s="44"/>
      <c r="P61" s="44"/>
      <c r="Q61" s="45"/>
      <c r="R61" s="52" t="s">
        <v>5</v>
      </c>
    </row>
    <row r="62" spans="1:18" ht="9.9499999999999993" customHeight="1">
      <c r="A62" s="4"/>
      <c r="B62" s="36" t="s">
        <v>56</v>
      </c>
      <c r="C62" s="66"/>
      <c r="D62" s="66"/>
      <c r="E62" s="61">
        <v>78.548159450875303</v>
      </c>
      <c r="F62" s="61">
        <v>56.482422331856597</v>
      </c>
      <c r="G62" s="61">
        <v>51.667551122123101</v>
      </c>
      <c r="H62" s="61">
        <v>16.2581657069809</v>
      </c>
      <c r="I62" s="61"/>
      <c r="J62" s="61"/>
      <c r="K62" s="61"/>
      <c r="L62" s="61"/>
      <c r="M62" s="49"/>
      <c r="N62" s="61"/>
      <c r="O62" s="61"/>
      <c r="P62" s="61"/>
      <c r="Q62" s="49"/>
      <c r="R62" s="52" t="s">
        <v>5</v>
      </c>
    </row>
    <row r="63" spans="1:18" ht="9.9499999999999993" customHeight="1">
      <c r="A63" s="4"/>
      <c r="B63" s="36" t="s">
        <v>57</v>
      </c>
      <c r="C63" s="66"/>
      <c r="D63" s="66"/>
      <c r="E63" s="61">
        <v>77.729042757296099</v>
      </c>
      <c r="F63" s="61">
        <v>53.941733413365299</v>
      </c>
      <c r="G63" s="61">
        <v>48.329416484935798</v>
      </c>
      <c r="H63" s="61">
        <v>19.889134319284199</v>
      </c>
      <c r="I63" s="61"/>
      <c r="J63" s="61"/>
      <c r="K63" s="61"/>
      <c r="L63" s="61"/>
      <c r="M63" s="49"/>
      <c r="N63" s="61"/>
      <c r="O63" s="61"/>
      <c r="P63" s="61"/>
      <c r="Q63" s="49"/>
      <c r="R63" s="52" t="s">
        <v>5</v>
      </c>
    </row>
    <row r="64" spans="1:18" ht="9.9499999999999993" customHeight="1">
      <c r="A64" s="4"/>
      <c r="B64" s="36" t="s">
        <v>58</v>
      </c>
      <c r="C64" s="66">
        <v>58.018257326187602</v>
      </c>
      <c r="D64" s="66"/>
      <c r="E64" s="61">
        <v>95.730814099097501</v>
      </c>
      <c r="F64" s="61">
        <v>53.7091052009919</v>
      </c>
      <c r="G64" s="61">
        <v>44.256409457006697</v>
      </c>
      <c r="H64" s="61">
        <v>60.377191241536202</v>
      </c>
      <c r="I64" s="61"/>
      <c r="J64" s="61"/>
      <c r="K64" s="61"/>
      <c r="L64" s="61"/>
      <c r="M64" s="49"/>
      <c r="N64" s="61"/>
      <c r="O64" s="61"/>
      <c r="P64" s="61"/>
      <c r="Q64" s="49"/>
      <c r="R64" s="52" t="s">
        <v>5</v>
      </c>
    </row>
    <row r="65" spans="1:18" ht="9.9499999999999993" customHeight="1">
      <c r="A65" s="4"/>
      <c r="B65" s="36" t="s">
        <v>59</v>
      </c>
      <c r="C65" s="66">
        <v>33.437415211108799</v>
      </c>
      <c r="D65" s="66"/>
      <c r="E65" s="61">
        <v>4.2691859009024897</v>
      </c>
      <c r="F65" s="61">
        <v>44.160183482439898</v>
      </c>
      <c r="G65" s="61">
        <v>44.523672167101701</v>
      </c>
      <c r="H65" s="61">
        <v>24.543383170879899</v>
      </c>
      <c r="I65" s="61"/>
      <c r="J65" s="61"/>
      <c r="K65" s="61"/>
      <c r="L65" s="61"/>
      <c r="M65" s="49"/>
      <c r="N65" s="61"/>
      <c r="O65" s="61"/>
      <c r="P65" s="61"/>
      <c r="Q65" s="49"/>
      <c r="R65" s="52" t="s">
        <v>5</v>
      </c>
    </row>
    <row r="66" spans="1:18" ht="9.9499999999999993" customHeight="1">
      <c r="A66" s="4"/>
      <c r="B66" s="36" t="s">
        <v>60</v>
      </c>
      <c r="C66" s="66">
        <v>8.5443269272925093</v>
      </c>
      <c r="D66" s="66"/>
      <c r="E66" s="61">
        <v>0</v>
      </c>
      <c r="F66" s="61">
        <v>2.1307096456263501</v>
      </c>
      <c r="G66" s="61">
        <v>11.2199181885558</v>
      </c>
      <c r="H66" s="61">
        <v>15.079425963489401</v>
      </c>
      <c r="I66" s="61"/>
      <c r="J66" s="61"/>
      <c r="K66" s="61"/>
      <c r="L66" s="61"/>
      <c r="M66" s="49"/>
      <c r="N66" s="61"/>
      <c r="O66" s="61"/>
      <c r="P66" s="61"/>
      <c r="Q66" s="49"/>
      <c r="R66" s="52" t="s">
        <v>5</v>
      </c>
    </row>
    <row r="67" spans="1:18" ht="5.0999999999999996" customHeight="1">
      <c r="A67" s="4"/>
      <c r="B67" s="40"/>
      <c r="C67" s="59"/>
      <c r="D67" s="59"/>
      <c r="E67" s="41"/>
      <c r="F67" s="41"/>
      <c r="G67" s="41"/>
      <c r="H67" s="41"/>
      <c r="I67" s="41"/>
      <c r="J67" s="41"/>
      <c r="K67" s="41"/>
      <c r="L67" s="41"/>
      <c r="M67" s="42"/>
      <c r="N67" s="41"/>
      <c r="O67" s="41"/>
      <c r="P67" s="41"/>
      <c r="Q67" s="42"/>
      <c r="R67" s="52"/>
    </row>
    <row r="68" spans="1:18" ht="5.0999999999999996" customHeight="1">
      <c r="A68" s="4"/>
      <c r="B68" s="43" t="s">
        <v>50</v>
      </c>
      <c r="C68" s="51"/>
      <c r="D68" s="51"/>
      <c r="E68" s="44"/>
      <c r="F68" s="44"/>
      <c r="G68" s="44"/>
      <c r="H68" s="44"/>
      <c r="I68" s="44"/>
      <c r="J68" s="44"/>
      <c r="K68" s="44"/>
      <c r="L68" s="44"/>
      <c r="M68" s="45"/>
      <c r="N68" s="44"/>
      <c r="O68" s="44"/>
      <c r="P68" s="44"/>
      <c r="Q68" s="45"/>
      <c r="R68" s="52" t="s">
        <v>5</v>
      </c>
    </row>
    <row r="69" spans="1:18" ht="9.9499999999999993" customHeight="1">
      <c r="A69" s="4"/>
      <c r="B69" s="36" t="s">
        <v>17</v>
      </c>
      <c r="C69" s="71">
        <v>-37.624626152927</v>
      </c>
      <c r="D69" s="71"/>
      <c r="E69" s="72"/>
      <c r="F69" s="72"/>
      <c r="G69" s="72"/>
      <c r="H69" s="72"/>
      <c r="I69" s="72">
        <v>-37.089429964284001</v>
      </c>
      <c r="J69" s="72">
        <v>-10.667777659575</v>
      </c>
      <c r="K69" s="72">
        <v>8.4506900873967403</v>
      </c>
      <c r="L69" s="72">
        <v>14.5966656543719</v>
      </c>
      <c r="M69" s="72">
        <v>11.9482250346618</v>
      </c>
      <c r="N69" s="73">
        <v>18.116235202576799</v>
      </c>
      <c r="O69" s="72">
        <v>27.109511295675901</v>
      </c>
      <c r="P69" s="72">
        <v>32.342353122709397</v>
      </c>
      <c r="Q69" s="50">
        <v>48.585312514741702</v>
      </c>
      <c r="R69" s="52" t="s">
        <v>5</v>
      </c>
    </row>
    <row r="70" spans="1:18" ht="9.9499999999999993" customHeight="1">
      <c r="A70" s="4"/>
      <c r="B70" s="36" t="s">
        <v>61</v>
      </c>
      <c r="C70" s="71"/>
      <c r="D70" s="71"/>
      <c r="E70" s="72"/>
      <c r="F70" s="72"/>
      <c r="G70" s="72"/>
      <c r="H70" s="72"/>
      <c r="I70" s="72">
        <v>-35.825395447390903</v>
      </c>
      <c r="J70" s="72">
        <v>-9.4145150871359196</v>
      </c>
      <c r="K70" s="72">
        <v>9.7308863901871305</v>
      </c>
      <c r="L70" s="72"/>
      <c r="M70" s="50"/>
      <c r="N70" s="72"/>
      <c r="O70" s="72"/>
      <c r="P70" s="72"/>
      <c r="Q70" s="50"/>
      <c r="R70" s="52" t="s">
        <v>5</v>
      </c>
    </row>
    <row r="71" spans="1:18" ht="9.9499999999999993" customHeight="1">
      <c r="A71" s="4"/>
      <c r="B71" s="36" t="s">
        <v>62</v>
      </c>
      <c r="C71" s="71"/>
      <c r="D71" s="71"/>
      <c r="E71" s="72"/>
      <c r="F71" s="72"/>
      <c r="G71" s="72"/>
      <c r="H71" s="72">
        <v>-59.758697761209298</v>
      </c>
      <c r="I71" s="72">
        <v>-34.383413428258201</v>
      </c>
      <c r="J71" s="72">
        <v>-7.1605573135657501</v>
      </c>
      <c r="K71" s="72"/>
      <c r="L71" s="72"/>
      <c r="M71" s="50"/>
      <c r="N71" s="72"/>
      <c r="O71" s="72"/>
      <c r="P71" s="72"/>
      <c r="Q71" s="50"/>
      <c r="R71" s="52" t="s">
        <v>5</v>
      </c>
    </row>
    <row r="72" spans="1:18" ht="9.9499999999999993" customHeight="1">
      <c r="A72" s="4"/>
      <c r="B72" s="36" t="s">
        <v>63</v>
      </c>
      <c r="C72" s="71"/>
      <c r="D72" s="71"/>
      <c r="E72" s="72"/>
      <c r="F72" s="72"/>
      <c r="G72" s="72"/>
      <c r="H72" s="72">
        <v>30.956525220473299</v>
      </c>
      <c r="I72" s="72">
        <v>27.482875052646499</v>
      </c>
      <c r="J72" s="72">
        <v>22.330474933338301</v>
      </c>
      <c r="K72" s="72"/>
      <c r="L72" s="72"/>
      <c r="M72" s="50"/>
      <c r="N72" s="72"/>
      <c r="O72" s="72"/>
      <c r="P72" s="72"/>
      <c r="Q72" s="50"/>
      <c r="R72" s="52" t="s">
        <v>5</v>
      </c>
    </row>
    <row r="73" spans="1:18" ht="9.9499999999999993" customHeight="1">
      <c r="A73" s="4"/>
      <c r="B73" s="36" t="s">
        <v>64</v>
      </c>
      <c r="C73" s="71"/>
      <c r="D73" s="71"/>
      <c r="E73" s="72"/>
      <c r="F73" s="72"/>
      <c r="G73" s="72"/>
      <c r="H73" s="72">
        <v>44.162747689754198</v>
      </c>
      <c r="I73" s="72">
        <v>52.219462767290999</v>
      </c>
      <c r="J73" s="72">
        <v>61.774058499273401</v>
      </c>
      <c r="K73" s="72">
        <v>72.3232908206937</v>
      </c>
      <c r="L73" s="72">
        <v>83.565961243265207</v>
      </c>
      <c r="M73" s="50"/>
      <c r="N73" s="72"/>
      <c r="O73" s="72"/>
      <c r="P73" s="72"/>
      <c r="Q73" s="50"/>
      <c r="R73" s="52" t="s">
        <v>5</v>
      </c>
    </row>
    <row r="74" spans="1:18" ht="9.9499999999999993" customHeight="1">
      <c r="A74" s="4"/>
      <c r="B74" s="36" t="s">
        <v>65</v>
      </c>
      <c r="C74" s="53"/>
      <c r="D74" s="53"/>
      <c r="E74" s="37"/>
      <c r="F74" s="37"/>
      <c r="G74" s="37"/>
      <c r="H74" s="61">
        <v>9.9378637115815904E-2</v>
      </c>
      <c r="I74" s="61">
        <v>0.106221484200204</v>
      </c>
      <c r="J74" s="61">
        <v>0.27208229019075097</v>
      </c>
      <c r="K74" s="61">
        <v>1.1582806543089399</v>
      </c>
      <c r="L74" s="61"/>
      <c r="M74" s="49"/>
      <c r="N74" s="37"/>
      <c r="O74" s="37"/>
      <c r="P74" s="37"/>
      <c r="Q74" s="38"/>
      <c r="R74" s="52" t="s">
        <v>5</v>
      </c>
    </row>
    <row r="75" spans="1:18" ht="9.9499999999999993" customHeight="1">
      <c r="A75" s="4"/>
      <c r="B75" s="36" t="s">
        <v>66</v>
      </c>
      <c r="C75" s="66"/>
      <c r="D75" s="66"/>
      <c r="E75" s="61"/>
      <c r="F75" s="61"/>
      <c r="G75" s="61">
        <v>54.783519131772799</v>
      </c>
      <c r="H75" s="61">
        <v>61.770920904368303</v>
      </c>
      <c r="I75" s="61">
        <v>70.982686219553699</v>
      </c>
      <c r="J75" s="61">
        <v>81.242853614402094</v>
      </c>
      <c r="K75" s="61">
        <v>91.817697730907597</v>
      </c>
      <c r="L75" s="61">
        <v>99.963114671805798</v>
      </c>
      <c r="M75" s="49"/>
      <c r="N75" s="62">
        <v>107.25403310355399</v>
      </c>
      <c r="O75" s="61">
        <v>120.51180018132099</v>
      </c>
      <c r="P75" s="61">
        <v>127.34417112019599</v>
      </c>
      <c r="Q75" s="49"/>
      <c r="R75" s="52" t="s">
        <v>5</v>
      </c>
    </row>
    <row r="76" spans="1:18" ht="9.9499999999999993" customHeight="1">
      <c r="A76" s="4"/>
      <c r="B76" s="36" t="s">
        <v>67</v>
      </c>
      <c r="C76" s="66"/>
      <c r="D76" s="66"/>
      <c r="E76" s="61">
        <v>16.5045948862758</v>
      </c>
      <c r="F76" s="61">
        <v>15.2058632929061</v>
      </c>
      <c r="G76" s="61">
        <v>14.424909601982501</v>
      </c>
      <c r="H76" s="61">
        <v>14.2670827406103</v>
      </c>
      <c r="I76" s="61">
        <v>13.7913103609487</v>
      </c>
      <c r="J76" s="61">
        <v>13.555022320087801</v>
      </c>
      <c r="K76" s="61">
        <v>13.7097391909246</v>
      </c>
      <c r="L76" s="61">
        <v>13.858385924674399</v>
      </c>
      <c r="M76" s="61"/>
      <c r="N76" s="62">
        <v>13.9463915535522</v>
      </c>
      <c r="O76" s="61">
        <v>14.0117848749824</v>
      </c>
      <c r="P76" s="61">
        <v>13.941636407232201</v>
      </c>
      <c r="Q76" s="49"/>
      <c r="R76" s="52" t="s">
        <v>5</v>
      </c>
    </row>
    <row r="77" spans="1:18" ht="9.9499999999999993" customHeight="1">
      <c r="A77" s="4"/>
      <c r="B77" s="36" t="s">
        <v>68</v>
      </c>
      <c r="C77" s="66">
        <v>0.12787758261645901</v>
      </c>
      <c r="D77" s="66"/>
      <c r="E77" s="61"/>
      <c r="F77" s="61"/>
      <c r="G77" s="61"/>
      <c r="H77" s="61"/>
      <c r="I77" s="61"/>
      <c r="J77" s="61"/>
      <c r="K77" s="61"/>
      <c r="L77" s="61"/>
      <c r="M77" s="61">
        <v>12.0498475100613</v>
      </c>
      <c r="N77" s="62">
        <v>11.977827377686999</v>
      </c>
      <c r="O77" s="61">
        <v>13.304862746348199</v>
      </c>
      <c r="P77" s="61">
        <v>13.2198854490945</v>
      </c>
      <c r="Q77" s="49">
        <v>12.028762535570699</v>
      </c>
      <c r="R77" s="52" t="s">
        <v>5</v>
      </c>
    </row>
    <row r="78" spans="1:18" ht="5.0999999999999996" customHeight="1">
      <c r="A78" s="4"/>
      <c r="B78" s="40"/>
      <c r="C78" s="59"/>
      <c r="D78" s="59"/>
      <c r="E78" s="41"/>
      <c r="F78" s="41"/>
      <c r="G78" s="41"/>
      <c r="H78" s="41"/>
      <c r="I78" s="41"/>
      <c r="J78" s="41"/>
      <c r="K78" s="41"/>
      <c r="L78" s="41"/>
      <c r="M78" s="42"/>
      <c r="N78" s="41"/>
      <c r="O78" s="41"/>
      <c r="P78" s="41"/>
      <c r="Q78" s="42"/>
      <c r="R78" s="52"/>
    </row>
    <row r="79" spans="1:18" ht="5.0999999999999996" customHeight="1">
      <c r="A79" s="4"/>
      <c r="B79" s="43" t="s">
        <v>50</v>
      </c>
      <c r="C79" s="51"/>
      <c r="D79" s="51"/>
      <c r="E79" s="44"/>
      <c r="F79" s="44"/>
      <c r="G79" s="44"/>
      <c r="H79" s="44"/>
      <c r="I79" s="44"/>
      <c r="J79" s="44"/>
      <c r="K79" s="44"/>
      <c r="L79" s="44"/>
      <c r="M79" s="45"/>
      <c r="N79" s="44"/>
      <c r="O79" s="44"/>
      <c r="P79" s="44"/>
      <c r="Q79" s="45"/>
      <c r="R79" s="52" t="s">
        <v>5</v>
      </c>
    </row>
    <row r="80" spans="1:18" ht="9.9499999999999993" customHeight="1">
      <c r="A80" s="4"/>
      <c r="B80" s="36" t="s">
        <v>89</v>
      </c>
      <c r="C80" s="66">
        <v>4.1372546028021997E-8</v>
      </c>
      <c r="D80" s="66"/>
      <c r="E80" s="61"/>
      <c r="F80" s="61"/>
      <c r="G80" s="61"/>
      <c r="H80" s="61"/>
      <c r="I80" s="61"/>
      <c r="J80" s="61"/>
      <c r="K80" s="61"/>
      <c r="L80" s="61"/>
      <c r="M80" s="61">
        <v>4.0801873647447603E-5</v>
      </c>
      <c r="N80" s="62"/>
      <c r="O80" s="61">
        <v>0</v>
      </c>
      <c r="P80" s="61">
        <v>7.3299725912953097E-5</v>
      </c>
      <c r="Q80" s="49">
        <v>7.1315605386129702E-2</v>
      </c>
      <c r="R80" s="52" t="s">
        <v>5</v>
      </c>
    </row>
    <row r="81" spans="1:20" ht="9.9499999999999993" customHeight="1">
      <c r="A81" s="4"/>
      <c r="B81" s="36" t="s">
        <v>69</v>
      </c>
      <c r="C81" s="66">
        <v>1.72382143428108E-5</v>
      </c>
      <c r="D81" s="66"/>
      <c r="E81" s="61"/>
      <c r="F81" s="61"/>
      <c r="G81" s="61"/>
      <c r="H81" s="61"/>
      <c r="I81" s="61"/>
      <c r="J81" s="61"/>
      <c r="K81" s="61"/>
      <c r="L81" s="61"/>
      <c r="M81" s="61">
        <v>1.7000438963717598E-2</v>
      </c>
      <c r="N81" s="62"/>
      <c r="O81" s="61">
        <v>0.15504539051522501</v>
      </c>
      <c r="P81" s="61">
        <v>1.26314946949344</v>
      </c>
      <c r="Q81" s="49">
        <v>3.76510408396034</v>
      </c>
      <c r="R81" s="52" t="s">
        <v>5</v>
      </c>
    </row>
    <row r="82" spans="1:20" ht="9.9499999999999993" customHeight="1">
      <c r="A82" s="4"/>
      <c r="B82" s="36" t="s">
        <v>70</v>
      </c>
      <c r="C82" s="66">
        <v>1.7604907630534301E-5</v>
      </c>
      <c r="D82" s="66"/>
      <c r="E82" s="61"/>
      <c r="F82" s="61"/>
      <c r="G82" s="61"/>
      <c r="H82" s="61"/>
      <c r="I82" s="61"/>
      <c r="J82" s="61"/>
      <c r="K82" s="61"/>
      <c r="L82" s="61"/>
      <c r="M82" s="61">
        <v>1.7362074266097299E-2</v>
      </c>
      <c r="N82" s="62"/>
      <c r="O82" s="61">
        <v>0.166951540124846</v>
      </c>
      <c r="P82" s="61">
        <v>1.2484182329828899</v>
      </c>
      <c r="Q82" s="49">
        <v>3.5269840348512398</v>
      </c>
      <c r="R82" s="52" t="s">
        <v>5</v>
      </c>
    </row>
    <row r="83" spans="1:20" ht="9.9499999999999993" customHeight="1">
      <c r="A83" s="4"/>
      <c r="B83" s="36" t="s">
        <v>25</v>
      </c>
      <c r="C83" s="66">
        <v>1.8998679274506001E-7</v>
      </c>
      <c r="D83" s="66"/>
      <c r="E83" s="61"/>
      <c r="F83" s="61"/>
      <c r="G83" s="61"/>
      <c r="H83" s="61"/>
      <c r="I83" s="61"/>
      <c r="J83" s="61"/>
      <c r="K83" s="61"/>
      <c r="L83" s="61"/>
      <c r="M83" s="61">
        <v>1.8736620915274E-4</v>
      </c>
      <c r="N83" s="62"/>
      <c r="O83" s="61">
        <v>0</v>
      </c>
      <c r="P83" s="61">
        <v>0</v>
      </c>
      <c r="Q83" s="49">
        <v>0.33092191854665298</v>
      </c>
      <c r="R83" s="52" t="s">
        <v>5</v>
      </c>
    </row>
    <row r="84" spans="1:20" ht="9.9499999999999993" customHeight="1">
      <c r="A84" s="4"/>
      <c r="B84" s="36" t="s">
        <v>24</v>
      </c>
      <c r="C84" s="66">
        <v>1.3924975332609201E-6</v>
      </c>
      <c r="D84" s="66"/>
      <c r="E84" s="61"/>
      <c r="F84" s="61"/>
      <c r="G84" s="61"/>
      <c r="H84" s="61"/>
      <c r="I84" s="61"/>
      <c r="J84" s="61"/>
      <c r="K84" s="61"/>
      <c r="L84" s="61"/>
      <c r="M84" s="61">
        <v>1.3732901129172E-3</v>
      </c>
      <c r="N84" s="62"/>
      <c r="O84" s="61">
        <v>0</v>
      </c>
      <c r="P84" s="61">
        <v>0</v>
      </c>
      <c r="Q84" s="49">
        <v>2.4254736269827699</v>
      </c>
      <c r="R84" s="52" t="s">
        <v>5</v>
      </c>
    </row>
    <row r="85" spans="1:20" ht="2.25" customHeight="1">
      <c r="A85" s="4"/>
      <c r="B85" s="40"/>
      <c r="C85" s="59"/>
      <c r="D85" s="59"/>
      <c r="E85" s="41"/>
      <c r="F85" s="41"/>
      <c r="G85" s="41"/>
      <c r="H85" s="41"/>
      <c r="I85" s="41"/>
      <c r="J85" s="41"/>
      <c r="K85" s="41"/>
      <c r="L85" s="41"/>
      <c r="M85" s="42"/>
      <c r="N85" s="41"/>
      <c r="O85" s="41"/>
      <c r="P85" s="41"/>
      <c r="Q85" s="42"/>
      <c r="R85" s="39"/>
    </row>
    <row r="86" spans="1:20" ht="3" customHeight="1">
      <c r="A86" s="1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2"/>
    </row>
    <row r="87" spans="1:20" ht="9.75" customHeight="1">
      <c r="B87" s="83" t="s">
        <v>83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</row>
    <row r="88" spans="1:20" ht="10.5" customHeight="1">
      <c r="B88" s="84" t="s">
        <v>84</v>
      </c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</row>
    <row r="89" spans="1:20" ht="9" customHeight="1"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</row>
    <row r="90" spans="1:20">
      <c r="B90" t="s">
        <v>50</v>
      </c>
      <c r="T90" t="str">
        <f>TRIM(B90)</f>
        <v/>
      </c>
    </row>
    <row r="91" spans="1:20">
      <c r="B91" t="s">
        <v>50</v>
      </c>
      <c r="T91" t="str">
        <f>TRIM(B91)</f>
        <v/>
      </c>
    </row>
    <row r="92" spans="1:20">
      <c r="B92" t="s">
        <v>50</v>
      </c>
      <c r="T92" t="str">
        <f>TRIM(B92)</f>
        <v/>
      </c>
    </row>
    <row r="93" spans="1:20">
      <c r="B93" t="s">
        <v>50</v>
      </c>
      <c r="T93" t="str">
        <f>TRIM(B93)</f>
        <v/>
      </c>
    </row>
    <row r="94" spans="1:20">
      <c r="B94" t="s">
        <v>50</v>
      </c>
      <c r="T94" t="str">
        <f>TRIM(B94)</f>
        <v/>
      </c>
    </row>
  </sheetData>
  <mergeCells count="7">
    <mergeCell ref="B88:R89"/>
    <mergeCell ref="W9:AA9"/>
    <mergeCell ref="W10:AA10"/>
    <mergeCell ref="C15:G15"/>
    <mergeCell ref="C16:G16"/>
    <mergeCell ref="N32:Q32"/>
    <mergeCell ref="E32:M32"/>
  </mergeCells>
  <phoneticPr fontId="2" type="noConversion"/>
  <pageMargins left="0.4" right="0.38" top="0.5" bottom="0.56999999999999995" header="0.51" footer="0.5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79"/>
  <sheetViews>
    <sheetView showGridLines="0" workbookViewId="0">
      <selection activeCell="B4" sqref="B4"/>
    </sheetView>
  </sheetViews>
  <sheetFormatPr defaultRowHeight="12.75"/>
  <cols>
    <col min="1" max="1" width="2.7109375" customWidth="1"/>
    <col min="2" max="2" width="19.28515625" customWidth="1"/>
    <col min="3" max="16" width="5.28515625" customWidth="1"/>
    <col min="17" max="17" width="1.28515625" customWidth="1"/>
  </cols>
  <sheetData>
    <row r="1" spans="1:17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 spans="1:17">
      <c r="A2" s="4"/>
      <c r="E2" s="5"/>
      <c r="Q2" s="6"/>
    </row>
    <row r="3" spans="1:17">
      <c r="A3" s="4"/>
      <c r="Q3" s="6"/>
    </row>
    <row r="4" spans="1:17" ht="7.5" customHeight="1">
      <c r="A4" s="4"/>
      <c r="Q4" s="6"/>
    </row>
    <row r="5" spans="1:17">
      <c r="A5" s="4"/>
      <c r="B5" s="7"/>
      <c r="D5" s="7" t="s">
        <v>0</v>
      </c>
      <c r="E5" s="8" t="s">
        <v>91</v>
      </c>
      <c r="Q5" s="6"/>
    </row>
    <row r="6" spans="1:17">
      <c r="A6" s="4"/>
      <c r="B6" s="7"/>
      <c r="D6" s="7" t="s">
        <v>1</v>
      </c>
      <c r="E6" s="8" t="s">
        <v>90</v>
      </c>
      <c r="Q6" s="6"/>
    </row>
    <row r="7" spans="1:17" ht="5.25" customHeight="1">
      <c r="A7" s="4"/>
      <c r="Q7" s="6"/>
    </row>
    <row r="8" spans="1:17" ht="5.25" customHeight="1">
      <c r="A8" s="4"/>
      <c r="Q8" s="6"/>
    </row>
    <row r="9" spans="1:17" ht="20.25" customHeight="1">
      <c r="A9" s="4"/>
      <c r="B9" s="9" t="s">
        <v>77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6"/>
    </row>
    <row r="10" spans="1:17">
      <c r="A10" s="4"/>
      <c r="Q10" s="6"/>
    </row>
    <row r="11" spans="1:17">
      <c r="A11" s="4"/>
      <c r="Q11" s="6"/>
    </row>
    <row r="12" spans="1:17">
      <c r="A12" s="4"/>
      <c r="Q12" s="6"/>
    </row>
    <row r="13" spans="1:17">
      <c r="A13" s="4"/>
      <c r="Q13" s="6"/>
    </row>
    <row r="14" spans="1:17">
      <c r="A14" s="4"/>
      <c r="Q14" s="6"/>
    </row>
    <row r="15" spans="1:17">
      <c r="A15" s="4"/>
      <c r="Q15" s="6"/>
    </row>
    <row r="16" spans="1:17">
      <c r="A16" s="4"/>
      <c r="Q16" s="6"/>
    </row>
    <row r="17" spans="1:17">
      <c r="A17" s="4"/>
      <c r="Q17" s="6"/>
    </row>
    <row r="18" spans="1:17">
      <c r="A18" s="4"/>
      <c r="Q18" s="6"/>
    </row>
    <row r="19" spans="1:17">
      <c r="A19" s="4"/>
      <c r="Q19" s="6"/>
    </row>
    <row r="20" spans="1:17">
      <c r="A20" s="4"/>
      <c r="Q20" s="6"/>
    </row>
    <row r="21" spans="1:17">
      <c r="A21" s="4"/>
      <c r="Q21" s="6"/>
    </row>
    <row r="22" spans="1:17">
      <c r="A22" s="4"/>
      <c r="Q22" s="6"/>
    </row>
    <row r="23" spans="1:17">
      <c r="A23" s="4"/>
      <c r="Q23" s="6"/>
    </row>
    <row r="24" spans="1:17">
      <c r="A24" s="4"/>
      <c r="Q24" s="6"/>
    </row>
    <row r="25" spans="1:17">
      <c r="A25" s="4"/>
      <c r="Q25" s="6"/>
    </row>
    <row r="26" spans="1:17">
      <c r="A26" s="4"/>
      <c r="Q26" s="6"/>
    </row>
    <row r="27" spans="1:17">
      <c r="A27" s="4"/>
      <c r="Q27" s="6"/>
    </row>
    <row r="28" spans="1:17">
      <c r="A28" s="4"/>
      <c r="Q28" s="6"/>
    </row>
    <row r="29" spans="1:17">
      <c r="A29" s="4"/>
      <c r="Q29" s="6"/>
    </row>
    <row r="30" spans="1:17">
      <c r="A30" s="4"/>
      <c r="Q30" s="6"/>
    </row>
    <row r="31" spans="1:17">
      <c r="A31" s="4"/>
      <c r="Q31" s="6"/>
    </row>
    <row r="32" spans="1:17">
      <c r="A32" s="4"/>
      <c r="Q32" s="6"/>
    </row>
    <row r="33" spans="1:17">
      <c r="A33" s="4"/>
      <c r="Q33" s="6"/>
    </row>
    <row r="34" spans="1:17">
      <c r="A34" s="4"/>
      <c r="Q34" s="6"/>
    </row>
    <row r="35" spans="1:17">
      <c r="A35" s="4"/>
      <c r="Q35" s="6"/>
    </row>
    <row r="36" spans="1:17">
      <c r="A36" s="4"/>
      <c r="Q36" s="6"/>
    </row>
    <row r="37" spans="1:17">
      <c r="A37" s="4"/>
      <c r="Q37" s="6"/>
    </row>
    <row r="38" spans="1:17">
      <c r="A38" s="4"/>
      <c r="Q38" s="6"/>
    </row>
    <row r="39" spans="1:17">
      <c r="A39" s="4"/>
      <c r="Q39" s="6"/>
    </row>
    <row r="40" spans="1:17">
      <c r="A40" s="4"/>
      <c r="Q40" s="6"/>
    </row>
    <row r="41" spans="1:17">
      <c r="A41" s="4"/>
      <c r="Q41" s="6"/>
    </row>
    <row r="42" spans="1:17">
      <c r="A42" s="4"/>
      <c r="Q42" s="6"/>
    </row>
    <row r="43" spans="1:17">
      <c r="A43" s="4"/>
      <c r="Q43" s="6"/>
    </row>
    <row r="44" spans="1:17">
      <c r="A44" s="4"/>
      <c r="Q44" s="6"/>
    </row>
    <row r="45" spans="1:17">
      <c r="A45" s="4"/>
      <c r="Q45" s="6"/>
    </row>
    <row r="46" spans="1:17">
      <c r="A46" s="4"/>
      <c r="Q46" s="6"/>
    </row>
    <row r="47" spans="1:17">
      <c r="A47" s="4"/>
      <c r="Q47" s="6"/>
    </row>
    <row r="48" spans="1:17">
      <c r="A48" s="4"/>
      <c r="Q48" s="6"/>
    </row>
    <row r="49" spans="1:23">
      <c r="A49" s="4"/>
      <c r="Q49" s="6"/>
    </row>
    <row r="50" spans="1:23">
      <c r="A50" s="4"/>
      <c r="Q50" s="6"/>
    </row>
    <row r="51" spans="1:23">
      <c r="A51" s="4"/>
      <c r="Q51" s="6"/>
    </row>
    <row r="52" spans="1:23">
      <c r="A52" s="4"/>
      <c r="B52" t="s">
        <v>50</v>
      </c>
      <c r="Q52" s="6"/>
    </row>
    <row r="53" spans="1:23">
      <c r="A53" s="4"/>
      <c r="B53" t="s">
        <v>50</v>
      </c>
      <c r="Q53" s="6"/>
      <c r="T53" s="16"/>
      <c r="U53" s="17"/>
      <c r="V53" s="15"/>
    </row>
    <row r="54" spans="1:23">
      <c r="A54" s="4"/>
      <c r="B54" t="s">
        <v>50</v>
      </c>
      <c r="Q54" s="6"/>
      <c r="S54" t="str">
        <f>TRIM(B54)</f>
        <v/>
      </c>
      <c r="T54" s="16"/>
      <c r="U54" s="17"/>
      <c r="V54" s="15"/>
      <c r="W54" s="14"/>
    </row>
    <row r="55" spans="1:23">
      <c r="A55" s="4"/>
      <c r="B55" t="s">
        <v>50</v>
      </c>
      <c r="Q55" s="6"/>
      <c r="S55" t="str">
        <f>TRIM(B55)</f>
        <v/>
      </c>
      <c r="T55" s="16"/>
      <c r="U55" s="17"/>
      <c r="V55" s="15"/>
    </row>
    <row r="56" spans="1:23">
      <c r="A56" s="4"/>
      <c r="B56" t="s">
        <v>50</v>
      </c>
      <c r="Q56" s="6"/>
      <c r="S56" t="str">
        <f>TRIM(B56)</f>
        <v/>
      </c>
      <c r="T56" s="16"/>
      <c r="U56" s="17"/>
      <c r="V56" s="15"/>
    </row>
    <row r="57" spans="1:23">
      <c r="A57" s="11"/>
      <c r="B57" s="12" t="s">
        <v>50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3"/>
      <c r="S57" t="str">
        <f>TRIM(B57)</f>
        <v/>
      </c>
      <c r="T57" s="16"/>
      <c r="U57" s="17"/>
      <c r="V57" s="15"/>
    </row>
    <row r="58" spans="1:23">
      <c r="B58" s="18" t="s">
        <v>50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S58" t="str">
        <f>TRIM(B58)</f>
        <v/>
      </c>
      <c r="T58" s="16"/>
      <c r="U58" s="17"/>
      <c r="V58" s="15"/>
    </row>
    <row r="59" spans="1:23"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T59" s="16"/>
      <c r="U59" s="17"/>
      <c r="V59" s="15"/>
    </row>
    <row r="60" spans="1:23" s="21" customFormat="1">
      <c r="B60" s="22" t="s">
        <v>76</v>
      </c>
      <c r="C60" s="22" t="s">
        <v>79</v>
      </c>
      <c r="D60" s="21" t="s">
        <v>78</v>
      </c>
      <c r="T60" s="23"/>
      <c r="U60" s="24"/>
      <c r="V60" s="25"/>
    </row>
    <row r="61" spans="1:23" s="21" customFormat="1">
      <c r="B61" s="23">
        <v>-50</v>
      </c>
      <c r="C61" s="21">
        <v>2.2041821408601399E-2</v>
      </c>
      <c r="D61" s="21">
        <v>4.5552895094541399E-2</v>
      </c>
      <c r="T61" s="23"/>
      <c r="U61" s="24"/>
      <c r="V61" s="25"/>
    </row>
    <row r="62" spans="1:23" s="21" customFormat="1">
      <c r="B62" s="23">
        <v>-45</v>
      </c>
      <c r="C62" s="21">
        <v>2.2041821408601399E-2</v>
      </c>
      <c r="D62" s="21">
        <v>4.5552895094541399E-2</v>
      </c>
      <c r="T62" s="23"/>
      <c r="U62" s="24"/>
      <c r="V62" s="25"/>
    </row>
    <row r="63" spans="1:23" s="21" customFormat="1">
      <c r="B63" s="23">
        <v>-40</v>
      </c>
      <c r="C63" s="21">
        <v>0.39136835351815802</v>
      </c>
      <c r="D63" s="21">
        <v>0.57543104249352905</v>
      </c>
      <c r="T63" s="23"/>
      <c r="U63" s="24"/>
      <c r="V63" s="25"/>
    </row>
    <row r="64" spans="1:23" s="21" customFormat="1">
      <c r="B64" s="23">
        <v>-35</v>
      </c>
      <c r="C64" s="21">
        <v>0.39136835351815802</v>
      </c>
      <c r="D64" s="21">
        <v>0.57543104249352905</v>
      </c>
      <c r="T64" s="23"/>
      <c r="U64" s="24"/>
      <c r="V64" s="25"/>
    </row>
    <row r="65" spans="2:22" s="21" customFormat="1">
      <c r="B65" s="23">
        <v>-30</v>
      </c>
      <c r="C65" s="21">
        <v>0.39136835351815802</v>
      </c>
      <c r="D65" s="21">
        <v>0.57543104249352905</v>
      </c>
      <c r="T65" s="23"/>
      <c r="U65" s="24"/>
      <c r="V65" s="25"/>
    </row>
    <row r="66" spans="2:22" s="21" customFormat="1">
      <c r="B66" s="23">
        <v>-25</v>
      </c>
      <c r="C66" s="21">
        <v>0.39136835351815802</v>
      </c>
      <c r="D66" s="21">
        <v>0.57543104249352905</v>
      </c>
      <c r="T66" s="23"/>
      <c r="U66" s="24"/>
      <c r="V66" s="25"/>
    </row>
    <row r="67" spans="2:22" s="21" customFormat="1">
      <c r="B67" s="23">
        <v>-20</v>
      </c>
      <c r="C67" s="21">
        <v>0.39136835351815802</v>
      </c>
      <c r="D67" s="21">
        <v>0.57543104249352905</v>
      </c>
      <c r="T67" s="23"/>
      <c r="U67" s="24"/>
      <c r="V67" s="25"/>
    </row>
    <row r="68" spans="2:22" s="21" customFormat="1">
      <c r="B68" s="23">
        <v>-15</v>
      </c>
      <c r="C68" s="21">
        <v>0.39136835351815802</v>
      </c>
      <c r="D68" s="21">
        <v>0.57543104249352905</v>
      </c>
      <c r="T68" s="23"/>
      <c r="U68" s="24"/>
      <c r="V68" s="25"/>
    </row>
    <row r="69" spans="2:22" s="21" customFormat="1">
      <c r="B69" s="23">
        <v>-10</v>
      </c>
      <c r="C69" s="21">
        <v>1.10024459834691</v>
      </c>
      <c r="D69" s="21">
        <v>1.49190005706504</v>
      </c>
      <c r="T69" s="23"/>
      <c r="U69" s="24"/>
      <c r="V69" s="25"/>
    </row>
    <row r="70" spans="2:22" s="21" customFormat="1">
      <c r="B70" s="23">
        <v>-5</v>
      </c>
      <c r="C70" s="21">
        <v>1.10024459834691</v>
      </c>
      <c r="D70" s="21">
        <v>1.49190005706504</v>
      </c>
      <c r="T70" s="23"/>
      <c r="U70" s="24"/>
      <c r="V70" s="25"/>
    </row>
    <row r="71" spans="2:22" s="21" customFormat="1">
      <c r="B71" s="23">
        <v>0</v>
      </c>
      <c r="C71" s="21">
        <v>3.6749786192575602</v>
      </c>
      <c r="D71" s="21">
        <v>4.6988072536612702</v>
      </c>
      <c r="T71" s="23"/>
      <c r="U71" s="24"/>
      <c r="V71" s="25"/>
    </row>
    <row r="72" spans="2:22" s="21" customFormat="1">
      <c r="B72" s="23">
        <v>5</v>
      </c>
      <c r="C72" s="21">
        <v>3.6749786192575602</v>
      </c>
      <c r="D72" s="21">
        <v>4.6988072536612702</v>
      </c>
      <c r="T72" s="23"/>
      <c r="U72" s="24"/>
      <c r="V72" s="25"/>
    </row>
    <row r="73" spans="2:22" s="21" customFormat="1">
      <c r="B73" s="23">
        <v>10</v>
      </c>
      <c r="C73" s="21">
        <v>3.7190499061978199</v>
      </c>
      <c r="D73" s="21">
        <v>4.7525954286825103</v>
      </c>
      <c r="T73" s="23"/>
      <c r="U73" s="24"/>
      <c r="V73" s="25"/>
    </row>
    <row r="74" spans="2:22" s="21" customFormat="1">
      <c r="B74" s="23">
        <v>15</v>
      </c>
      <c r="C74" s="21">
        <v>3.7190499061978199</v>
      </c>
      <c r="D74" s="21">
        <v>4.7525954286825103</v>
      </c>
      <c r="T74" s="23"/>
      <c r="U74" s="24"/>
      <c r="V74" s="25"/>
    </row>
    <row r="75" spans="2:22" s="21" customFormat="1">
      <c r="B75" s="23">
        <v>20</v>
      </c>
      <c r="C75" s="21">
        <v>3.7190499061978199</v>
      </c>
      <c r="D75" s="21">
        <v>4.7525954286825103</v>
      </c>
      <c r="T75" s="23"/>
      <c r="U75" s="24"/>
      <c r="V75" s="25"/>
    </row>
    <row r="76" spans="2:22" s="21" customFormat="1">
      <c r="B76" s="23">
        <v>25</v>
      </c>
      <c r="C76" s="21">
        <v>3.7190499061978199</v>
      </c>
      <c r="D76" s="21">
        <v>4.7525954286825103</v>
      </c>
      <c r="T76" s="23"/>
      <c r="U76" s="24"/>
      <c r="V76" s="25"/>
    </row>
    <row r="77" spans="2:22" s="21" customFormat="1">
      <c r="B77" s="23">
        <v>30</v>
      </c>
      <c r="C77" s="21">
        <v>7.1938526858770802</v>
      </c>
      <c r="D77" s="21">
        <v>8.8038957261930104</v>
      </c>
      <c r="T77" s="23"/>
      <c r="U77" s="24"/>
      <c r="V77" s="25"/>
    </row>
    <row r="78" spans="2:22" s="21" customFormat="1">
      <c r="B78" s="23">
        <v>35</v>
      </c>
      <c r="C78" s="21">
        <v>7.1938526858770802</v>
      </c>
      <c r="D78" s="21">
        <v>8.8038957261930104</v>
      </c>
      <c r="T78" s="23"/>
      <c r="U78" s="24"/>
      <c r="V78" s="25"/>
    </row>
    <row r="79" spans="2:22" s="21" customFormat="1">
      <c r="B79" s="23">
        <v>40</v>
      </c>
      <c r="C79" s="21">
        <v>10.8041927878204</v>
      </c>
      <c r="D79" s="21">
        <v>12.971585210009501</v>
      </c>
      <c r="T79" s="23"/>
      <c r="U79" s="24"/>
      <c r="V79" s="25"/>
    </row>
    <row r="80" spans="2:22" s="21" customFormat="1">
      <c r="B80" s="23">
        <v>45</v>
      </c>
      <c r="C80" s="21">
        <v>10.8041927878204</v>
      </c>
      <c r="D80" s="21">
        <v>12.971585210009501</v>
      </c>
      <c r="T80" s="23"/>
      <c r="U80" s="24"/>
      <c r="V80" s="25"/>
    </row>
    <row r="81" spans="2:22" s="21" customFormat="1">
      <c r="B81" s="23">
        <v>50</v>
      </c>
      <c r="C81" s="21">
        <v>11.4369083092691</v>
      </c>
      <c r="D81" s="21">
        <v>13.5983419345642</v>
      </c>
      <c r="T81" s="23"/>
      <c r="U81" s="24"/>
      <c r="V81" s="25"/>
    </row>
    <row r="82" spans="2:22" s="21" customFormat="1">
      <c r="B82" s="23">
        <v>55</v>
      </c>
      <c r="C82" s="21">
        <v>11.4369083092691</v>
      </c>
      <c r="D82" s="21">
        <v>13.5983419345642</v>
      </c>
      <c r="T82" s="23"/>
      <c r="U82" s="24"/>
      <c r="V82" s="25"/>
    </row>
    <row r="83" spans="2:22" s="21" customFormat="1">
      <c r="B83" s="23">
        <v>60</v>
      </c>
      <c r="C83" s="21">
        <v>11.721685580789901</v>
      </c>
      <c r="D83" s="21">
        <v>13.909638818252001</v>
      </c>
      <c r="T83" s="23"/>
      <c r="U83" s="24"/>
      <c r="V83" s="25"/>
    </row>
    <row r="84" spans="2:22" s="21" customFormat="1">
      <c r="B84" s="23">
        <v>65</v>
      </c>
      <c r="C84" s="21">
        <v>16.488874861659401</v>
      </c>
      <c r="D84" s="21">
        <v>19.1598289391384</v>
      </c>
      <c r="T84" s="23"/>
      <c r="U84" s="24"/>
      <c r="V84" s="25"/>
    </row>
    <row r="85" spans="2:22" s="21" customFormat="1">
      <c r="B85" s="23">
        <v>70</v>
      </c>
      <c r="C85" s="21">
        <v>21.474145942103</v>
      </c>
      <c r="D85" s="21">
        <v>24.629050932178298</v>
      </c>
      <c r="T85" s="23"/>
      <c r="U85" s="24"/>
      <c r="V85" s="25"/>
    </row>
    <row r="86" spans="2:22" s="21" customFormat="1">
      <c r="B86" s="23">
        <v>75</v>
      </c>
      <c r="C86" s="21">
        <v>24.526508638563399</v>
      </c>
      <c r="D86" s="21">
        <v>27.5796429626308</v>
      </c>
      <c r="T86" s="23"/>
      <c r="U86" s="24"/>
      <c r="V86" s="25"/>
    </row>
    <row r="87" spans="2:22" s="21" customFormat="1">
      <c r="B87" s="23">
        <v>80</v>
      </c>
      <c r="C87" s="21">
        <v>24.621589494157298</v>
      </c>
      <c r="D87" s="21">
        <v>27.681764765983701</v>
      </c>
      <c r="T87" s="23"/>
      <c r="U87" s="24"/>
      <c r="V87" s="25"/>
    </row>
    <row r="88" spans="2:22" s="21" customFormat="1">
      <c r="B88" s="23">
        <v>85</v>
      </c>
      <c r="C88" s="21">
        <v>31.054552869302402</v>
      </c>
      <c r="D88" s="21">
        <v>33.623068833208698</v>
      </c>
      <c r="T88" s="23"/>
      <c r="U88" s="24"/>
      <c r="V88" s="25"/>
    </row>
    <row r="89" spans="2:22" s="21" customFormat="1">
      <c r="B89" s="23">
        <v>90</v>
      </c>
      <c r="C89" s="21">
        <v>32.157584293503</v>
      </c>
      <c r="D89" s="21">
        <v>34.742114109027298</v>
      </c>
      <c r="T89" s="23"/>
      <c r="U89" s="24"/>
      <c r="V89" s="25"/>
    </row>
    <row r="90" spans="2:22" s="21" customFormat="1">
      <c r="B90" s="23">
        <v>95</v>
      </c>
      <c r="C90" s="21">
        <v>37.452567904156801</v>
      </c>
      <c r="D90" s="21">
        <v>40.071900310942702</v>
      </c>
      <c r="T90" s="23"/>
      <c r="U90" s="24"/>
      <c r="V90" s="25"/>
    </row>
    <row r="91" spans="2:22" s="21" customFormat="1">
      <c r="B91" s="23">
        <v>100</v>
      </c>
      <c r="C91" s="21">
        <v>43.962677611693302</v>
      </c>
      <c r="D91" s="21">
        <v>46.961927661042203</v>
      </c>
      <c r="T91" s="23"/>
      <c r="U91" s="24"/>
      <c r="V91" s="25"/>
    </row>
    <row r="92" spans="2:22" s="21" customFormat="1">
      <c r="B92" s="23">
        <v>105</v>
      </c>
      <c r="C92" s="21">
        <v>50.688002525307397</v>
      </c>
      <c r="D92" s="21">
        <v>53.294807170797803</v>
      </c>
      <c r="T92" s="23"/>
      <c r="U92" s="24"/>
      <c r="V92" s="25"/>
    </row>
    <row r="93" spans="2:22" s="21" customFormat="1">
      <c r="B93" s="23">
        <v>110</v>
      </c>
      <c r="C93" s="21">
        <v>51.960388772482197</v>
      </c>
      <c r="D93" s="21">
        <v>54.585041747229802</v>
      </c>
      <c r="T93" s="23"/>
      <c r="U93" s="24"/>
      <c r="V93" s="25"/>
    </row>
    <row r="94" spans="2:22" s="21" customFormat="1">
      <c r="B94" s="23">
        <v>115</v>
      </c>
      <c r="C94" s="21">
        <v>53.309888864346298</v>
      </c>
      <c r="D94" s="21">
        <v>55.755009979434398</v>
      </c>
      <c r="T94" s="23"/>
      <c r="U94" s="24"/>
      <c r="V94" s="25"/>
    </row>
    <row r="95" spans="2:22" s="21" customFormat="1">
      <c r="B95" s="23">
        <v>120</v>
      </c>
      <c r="C95" s="21">
        <v>59.454348975455702</v>
      </c>
      <c r="D95" s="21">
        <v>61.844792108723503</v>
      </c>
      <c r="T95" s="23"/>
      <c r="U95" s="24"/>
      <c r="V95" s="25"/>
    </row>
    <row r="96" spans="2:22" s="21" customFormat="1">
      <c r="B96" s="23">
        <v>125</v>
      </c>
      <c r="C96" s="21">
        <v>60.903082387771597</v>
      </c>
      <c r="D96" s="21">
        <v>63.203833380871899</v>
      </c>
      <c r="T96" s="23"/>
      <c r="U96" s="24"/>
      <c r="V96" s="25"/>
    </row>
    <row r="97" spans="2:22" s="21" customFormat="1">
      <c r="B97" s="23">
        <v>130</v>
      </c>
      <c r="C97" s="21">
        <v>64.989047395981004</v>
      </c>
      <c r="D97" s="21">
        <v>67.338953617871596</v>
      </c>
      <c r="T97" s="23"/>
      <c r="U97" s="24"/>
      <c r="V97" s="25"/>
    </row>
    <row r="98" spans="2:22" s="21" customFormat="1">
      <c r="B98" s="23">
        <v>135</v>
      </c>
      <c r="C98" s="21">
        <v>66.733919630271302</v>
      </c>
      <c r="D98" s="21">
        <v>68.973508326540994</v>
      </c>
      <c r="T98" s="23"/>
      <c r="U98" s="24"/>
      <c r="V98" s="25"/>
    </row>
    <row r="99" spans="2:22" s="21" customFormat="1">
      <c r="B99" s="23">
        <v>140</v>
      </c>
      <c r="C99" s="21">
        <v>70.195152478183601</v>
      </c>
      <c r="D99" s="21">
        <v>72.154552854028495</v>
      </c>
      <c r="T99" s="23"/>
      <c r="U99" s="24"/>
      <c r="V99" s="25"/>
    </row>
    <row r="100" spans="2:22" s="21" customFormat="1">
      <c r="B100" s="23">
        <v>145</v>
      </c>
      <c r="C100" s="21">
        <v>73.258721490503007</v>
      </c>
      <c r="D100" s="21">
        <v>75.132944068847095</v>
      </c>
      <c r="T100" s="23"/>
      <c r="U100" s="24"/>
      <c r="V100" s="25"/>
    </row>
    <row r="101" spans="2:22" s="21" customFormat="1">
      <c r="B101" s="23">
        <v>150</v>
      </c>
      <c r="C101" s="21">
        <v>75.311281108980296</v>
      </c>
      <c r="D101" s="21">
        <v>77.101011125722195</v>
      </c>
      <c r="T101" s="23"/>
      <c r="U101" s="24"/>
      <c r="V101" s="25"/>
    </row>
    <row r="102" spans="2:22" s="21" customFormat="1">
      <c r="B102" s="23">
        <v>160</v>
      </c>
      <c r="C102" s="21">
        <v>79.303320613389701</v>
      </c>
      <c r="D102" s="21">
        <v>80.903350947581799</v>
      </c>
      <c r="T102" s="23"/>
      <c r="U102" s="24"/>
      <c r="V102" s="25"/>
    </row>
    <row r="103" spans="2:22" s="21" customFormat="1">
      <c r="B103" s="23">
        <v>170</v>
      </c>
      <c r="C103" s="21">
        <v>83.042178989281396</v>
      </c>
      <c r="D103" s="21">
        <v>84.4352654181654</v>
      </c>
      <c r="T103" s="23"/>
      <c r="U103" s="24"/>
      <c r="V103" s="25"/>
    </row>
    <row r="104" spans="2:22" s="21" customFormat="1">
      <c r="B104" s="23">
        <v>180</v>
      </c>
      <c r="C104" s="21">
        <v>86.412177647468894</v>
      </c>
      <c r="D104" s="21">
        <v>87.594666857895007</v>
      </c>
      <c r="T104" s="23"/>
      <c r="U104" s="24"/>
      <c r="V104" s="25"/>
    </row>
    <row r="105" spans="2:22" s="21" customFormat="1">
      <c r="B105" s="23">
        <v>190</v>
      </c>
      <c r="C105" s="21">
        <v>89.324659074830805</v>
      </c>
      <c r="D105" s="21">
        <v>90.306013086472703</v>
      </c>
      <c r="T105" s="23"/>
      <c r="U105" s="24"/>
      <c r="V105" s="25"/>
    </row>
    <row r="106" spans="2:22" s="21" customFormat="1">
      <c r="B106" s="23">
        <v>200</v>
      </c>
      <c r="C106" s="21">
        <v>91.735128152719994</v>
      </c>
      <c r="D106" s="21">
        <v>92.535312957729303</v>
      </c>
      <c r="T106" s="23"/>
      <c r="U106" s="24"/>
      <c r="V106" s="25"/>
    </row>
    <row r="107" spans="2:22" s="21" customFormat="1">
      <c r="B107" s="23">
        <v>210</v>
      </c>
      <c r="C107" s="21">
        <v>93.649998740397294</v>
      </c>
      <c r="D107" s="21">
        <v>94.295266616748805</v>
      </c>
      <c r="T107" s="23"/>
      <c r="U107" s="24"/>
      <c r="V107" s="25"/>
    </row>
    <row r="108" spans="2:22" s="21" customFormat="1">
      <c r="B108" s="23">
        <v>220</v>
      </c>
      <c r="C108" s="21">
        <v>95.120067258830602</v>
      </c>
      <c r="D108" s="21">
        <v>95.638317997158694</v>
      </c>
      <c r="T108" s="23"/>
      <c r="U108" s="24"/>
      <c r="V108" s="25"/>
    </row>
    <row r="109" spans="2:22" s="21" customFormat="1">
      <c r="B109" s="23">
        <v>230</v>
      </c>
      <c r="C109" s="21">
        <v>96.223608059695593</v>
      </c>
      <c r="D109" s="21">
        <v>96.640698669603694</v>
      </c>
      <c r="T109" s="23"/>
      <c r="U109" s="24"/>
      <c r="V109" s="25"/>
    </row>
    <row r="110" spans="2:22" s="21" customFormat="1">
      <c r="B110" s="23">
        <v>240</v>
      </c>
      <c r="C110" s="21">
        <v>97.046499144325196</v>
      </c>
      <c r="D110" s="21">
        <v>97.384025311397195</v>
      </c>
      <c r="T110" s="23"/>
      <c r="U110" s="24"/>
      <c r="V110" s="25"/>
    </row>
    <row r="111" spans="2:22" s="21" customFormat="1">
      <c r="B111" s="23">
        <v>250</v>
      </c>
      <c r="C111" s="21">
        <v>97.666147132910694</v>
      </c>
      <c r="D111" s="21">
        <v>97.940810571965898</v>
      </c>
      <c r="T111" s="23"/>
      <c r="U111" s="24"/>
      <c r="V111" s="25"/>
    </row>
    <row r="112" spans="2:22" s="21" customFormat="1">
      <c r="B112" s="23">
        <v>260</v>
      </c>
      <c r="C112" s="21">
        <v>98.142949328211301</v>
      </c>
      <c r="D112" s="21">
        <v>98.367103018111493</v>
      </c>
      <c r="T112" s="23"/>
      <c r="U112" s="24"/>
      <c r="V112" s="25"/>
    </row>
    <row r="113" spans="2:22" s="21" customFormat="1">
      <c r="B113" s="23">
        <v>270</v>
      </c>
      <c r="C113" s="21">
        <v>98.519052703087894</v>
      </c>
      <c r="D113" s="21">
        <v>98.701786076138703</v>
      </c>
      <c r="T113" s="23"/>
      <c r="U113" s="24"/>
      <c r="V113" s="25"/>
    </row>
    <row r="114" spans="2:22" s="21" customFormat="1">
      <c r="B114" s="23">
        <v>280</v>
      </c>
      <c r="C114" s="21">
        <v>98.821654793068006</v>
      </c>
      <c r="D114" s="21">
        <v>98.969884514069307</v>
      </c>
      <c r="T114" s="23"/>
      <c r="U114" s="24"/>
      <c r="V114" s="25"/>
    </row>
    <row r="115" spans="2:22" s="21" customFormat="1">
      <c r="B115" s="23">
        <v>290</v>
      </c>
      <c r="C115" s="21">
        <v>99.067752628157507</v>
      </c>
      <c r="D115" s="21">
        <v>99.187040769810594</v>
      </c>
      <c r="T115" s="23"/>
      <c r="U115" s="24"/>
      <c r="V115" s="25"/>
    </row>
    <row r="116" spans="2:22" s="21" customFormat="1">
      <c r="B116" s="23">
        <v>300</v>
      </c>
      <c r="C116" s="21">
        <v>99.268297220572705</v>
      </c>
      <c r="D116" s="21">
        <v>99.363348440389998</v>
      </c>
      <c r="T116" s="23"/>
      <c r="U116" s="24"/>
      <c r="V116" s="25"/>
    </row>
    <row r="117" spans="2:22" s="21" customFormat="1">
      <c r="B117" s="23">
        <v>310</v>
      </c>
      <c r="C117" s="21">
        <v>99.431000997176795</v>
      </c>
      <c r="D117" s="21">
        <v>99.5059175536488</v>
      </c>
      <c r="T117" s="23"/>
      <c r="U117" s="24"/>
      <c r="V117" s="25"/>
    </row>
    <row r="118" spans="2:22" s="21" customFormat="1">
      <c r="B118" s="23">
        <v>320</v>
      </c>
      <c r="C118" s="21">
        <v>99.561904474860299</v>
      </c>
      <c r="D118" s="21">
        <v>99.620299916837894</v>
      </c>
      <c r="T118" s="23"/>
      <c r="U118" s="24"/>
      <c r="V118" s="25"/>
    </row>
    <row r="119" spans="2:22" s="21" customFormat="1">
      <c r="B119" s="23">
        <v>330</v>
      </c>
      <c r="C119" s="21">
        <v>99.666139091835106</v>
      </c>
      <c r="D119" s="21">
        <v>99.711161899265306</v>
      </c>
      <c r="T119" s="23"/>
      <c r="U119" s="24"/>
      <c r="V119" s="25"/>
    </row>
    <row r="120" spans="2:22" s="21" customFormat="1">
      <c r="B120" s="23">
        <v>340</v>
      </c>
      <c r="C120" s="21">
        <v>99.748211564022895</v>
      </c>
      <c r="D120" s="21">
        <v>99.782556714009303</v>
      </c>
      <c r="T120" s="23"/>
      <c r="U120" s="24"/>
      <c r="V120" s="25"/>
    </row>
    <row r="121" spans="2:22" s="21" customFormat="1">
      <c r="B121" s="23">
        <v>350</v>
      </c>
      <c r="C121" s="21">
        <v>99.812090837843101</v>
      </c>
      <c r="D121" s="21">
        <v>99.838021774343702</v>
      </c>
      <c r="T121" s="23"/>
      <c r="U121" s="24"/>
      <c r="V121" s="25"/>
    </row>
    <row r="122" spans="2:22" s="21" customFormat="1">
      <c r="B122" s="23">
        <v>360</v>
      </c>
      <c r="C122" s="21">
        <v>99.861233501995102</v>
      </c>
      <c r="D122" s="21">
        <v>99.880616451239305</v>
      </c>
      <c r="T122" s="23"/>
      <c r="U122" s="24"/>
      <c r="V122" s="25"/>
    </row>
    <row r="123" spans="2:22" s="21" customFormat="1">
      <c r="B123" s="23">
        <v>370</v>
      </c>
      <c r="C123" s="21">
        <v>99.898601357414407</v>
      </c>
      <c r="D123" s="21">
        <v>99.912948581561594</v>
      </c>
      <c r="T123" s="23"/>
      <c r="U123" s="24"/>
      <c r="V123" s="25"/>
    </row>
    <row r="124" spans="2:22" s="21" customFormat="1">
      <c r="B124" s="23">
        <v>380</v>
      </c>
      <c r="C124" s="21">
        <v>99.9266880785773</v>
      </c>
      <c r="D124" s="21">
        <v>99.937205469441494</v>
      </c>
      <c r="T124" s="23"/>
      <c r="U124" s="24"/>
      <c r="V124" s="25"/>
    </row>
    <row r="125" spans="2:22" s="21" customFormat="1">
      <c r="B125" s="23">
        <v>390</v>
      </c>
      <c r="C125" s="21">
        <v>99.947556876345402</v>
      </c>
      <c r="D125" s="21">
        <v>99.955191860905899</v>
      </c>
      <c r="T125" s="23"/>
      <c r="U125" s="24"/>
      <c r="V125" s="25"/>
    </row>
    <row r="126" spans="2:22" s="21" customFormat="1">
      <c r="B126" s="23">
        <v>400</v>
      </c>
      <c r="C126" s="21">
        <v>99.962886128693</v>
      </c>
      <c r="D126" s="21">
        <v>99.9683729573877</v>
      </c>
      <c r="T126" s="23"/>
      <c r="U126" s="24"/>
      <c r="V126" s="25"/>
    </row>
    <row r="127" spans="2:22" s="21" customFormat="1">
      <c r="B127" s="23">
        <v>410</v>
      </c>
      <c r="C127" s="21">
        <v>99.974018244122405</v>
      </c>
      <c r="D127" s="21">
        <v>99.977919594607499</v>
      </c>
      <c r="T127" s="23"/>
      <c r="U127" s="24"/>
      <c r="V127" s="25"/>
    </row>
    <row r="128" spans="2:22" s="21" customFormat="1">
      <c r="B128" s="23">
        <v>420</v>
      </c>
      <c r="C128" s="21">
        <v>99.982008414850796</v>
      </c>
      <c r="D128" s="21">
        <v>99.984752973534995</v>
      </c>
      <c r="T128" s="23"/>
      <c r="U128" s="24"/>
      <c r="V128" s="25"/>
    </row>
    <row r="129" spans="2:22" s="21" customFormat="1">
      <c r="B129" s="23">
        <v>430</v>
      </c>
      <c r="C129" s="21">
        <v>99.9876764711085</v>
      </c>
      <c r="D129" s="21">
        <v>99.989586936627006</v>
      </c>
      <c r="T129" s="23"/>
      <c r="U129" s="24"/>
      <c r="V129" s="25"/>
    </row>
    <row r="130" spans="2:22" s="21" customFormat="1">
      <c r="B130" s="23">
        <v>440</v>
      </c>
      <c r="C130" s="21">
        <v>99.9916504255782</v>
      </c>
      <c r="D130" s="21">
        <v>99.992966432904893</v>
      </c>
      <c r="T130" s="23"/>
      <c r="U130" s="24"/>
      <c r="V130" s="25"/>
    </row>
    <row r="131" spans="2:22" s="21" customFormat="1">
      <c r="B131" s="23">
        <v>450</v>
      </c>
      <c r="C131" s="21">
        <v>99.994404238336699</v>
      </c>
      <c r="D131" s="21">
        <v>99.995301400696405</v>
      </c>
      <c r="T131" s="23"/>
      <c r="U131" s="24"/>
      <c r="V131" s="25"/>
    </row>
    <row r="132" spans="2:22" s="21" customFormat="1">
      <c r="B132" s="23">
        <v>460</v>
      </c>
      <c r="C132" s="21">
        <v>99.996290413199702</v>
      </c>
      <c r="D132" s="21">
        <v>99.996895776940505</v>
      </c>
      <c r="T132" s="23"/>
      <c r="U132" s="24"/>
      <c r="V132" s="25"/>
    </row>
    <row r="133" spans="2:22" s="21" customFormat="1">
      <c r="B133" s="23">
        <v>470</v>
      </c>
      <c r="C133" s="21">
        <v>99.997567380361005</v>
      </c>
      <c r="D133" s="21">
        <v>99.997971705896205</v>
      </c>
      <c r="T133" s="23"/>
      <c r="U133" s="24"/>
      <c r="V133" s="25"/>
    </row>
    <row r="134" spans="2:22" s="21" customFormat="1">
      <c r="B134" s="23">
        <v>480</v>
      </c>
      <c r="C134" s="21">
        <v>99.998421940856403</v>
      </c>
      <c r="D134" s="21">
        <v>99.998689272398906</v>
      </c>
      <c r="T134" s="23"/>
      <c r="U134" s="24"/>
      <c r="V134" s="25"/>
    </row>
    <row r="135" spans="2:22" s="21" customFormat="1">
      <c r="B135" s="23">
        <v>490</v>
      </c>
      <c r="C135" s="21">
        <v>99.998987251413396</v>
      </c>
      <c r="D135" s="21">
        <v>99.999162238969703</v>
      </c>
      <c r="T135" s="23"/>
      <c r="U135" s="24"/>
      <c r="V135" s="25"/>
    </row>
    <row r="136" spans="2:22" s="21" customFormat="1">
      <c r="B136" s="23">
        <v>500</v>
      </c>
      <c r="C136" s="21">
        <v>99.999356934277003</v>
      </c>
      <c r="D136" s="21">
        <v>99.999470340239498</v>
      </c>
      <c r="T136" s="23"/>
      <c r="U136" s="24"/>
      <c r="V136" s="25"/>
    </row>
    <row r="137" spans="2:22" s="21" customFormat="1">
      <c r="B137" s="23">
        <v>510</v>
      </c>
      <c r="C137" s="21">
        <v>99.9995959242694</v>
      </c>
      <c r="D137" s="21">
        <v>99.999668701831595</v>
      </c>
      <c r="T137" s="23"/>
      <c r="U137" s="24"/>
      <c r="V137" s="25"/>
    </row>
    <row r="138" spans="2:22" s="21" customFormat="1">
      <c r="B138" s="23">
        <v>520</v>
      </c>
      <c r="C138" s="21">
        <v>99.999748652024195</v>
      </c>
      <c r="D138" s="21">
        <v>99.999794922583703</v>
      </c>
      <c r="T138" s="23"/>
      <c r="U138" s="24"/>
      <c r="V138" s="25"/>
    </row>
    <row r="139" spans="2:22" s="21" customFormat="1">
      <c r="B139" s="23">
        <v>530</v>
      </c>
      <c r="C139" s="21">
        <v>99.999845134279795</v>
      </c>
      <c r="D139" s="21">
        <v>99.999874304880805</v>
      </c>
      <c r="T139" s="23"/>
      <c r="U139" s="24"/>
      <c r="V139" s="25"/>
    </row>
    <row r="140" spans="2:22" s="21" customFormat="1">
      <c r="B140" s="23">
        <v>540</v>
      </c>
      <c r="C140" s="21">
        <v>99.999905388004194</v>
      </c>
      <c r="D140" s="21">
        <v>99.999923650793704</v>
      </c>
      <c r="T140" s="23"/>
      <c r="U140" s="24"/>
      <c r="V140" s="25"/>
    </row>
    <row r="141" spans="2:22" s="21" customFormat="1">
      <c r="B141" s="23">
        <v>550</v>
      </c>
      <c r="C141" s="21">
        <v>99.999942588634298</v>
      </c>
      <c r="D141" s="21">
        <v>99.999953971237403</v>
      </c>
      <c r="T141" s="23"/>
      <c r="U141" s="24"/>
      <c r="V141" s="25"/>
    </row>
    <row r="142" spans="2:22" s="21" customFormat="1">
      <c r="B142" s="23">
        <v>560</v>
      </c>
      <c r="C142" s="21">
        <v>99.999965296816399</v>
      </c>
      <c r="D142" s="21">
        <v>99.999972387935202</v>
      </c>
      <c r="T142" s="23"/>
      <c r="U142" s="24"/>
      <c r="V142" s="25"/>
    </row>
    <row r="143" spans="2:22" s="21" customFormat="1">
      <c r="B143" s="23">
        <v>570</v>
      </c>
      <c r="C143" s="21">
        <v>99.999979003694193</v>
      </c>
      <c r="D143" s="21">
        <v>99.999983447488503</v>
      </c>
      <c r="T143" s="23"/>
      <c r="U143" s="24"/>
      <c r="V143" s="25"/>
    </row>
    <row r="144" spans="2:22" s="21" customFormat="1">
      <c r="B144" s="23">
        <v>580</v>
      </c>
      <c r="C144" s="21">
        <v>99.999987186797298</v>
      </c>
      <c r="D144" s="21">
        <v>99.999990015163107</v>
      </c>
      <c r="T144" s="23"/>
      <c r="U144" s="24"/>
      <c r="V144" s="25"/>
    </row>
    <row r="145" spans="2:22" s="21" customFormat="1">
      <c r="B145" s="23">
        <v>590</v>
      </c>
      <c r="C145" s="21">
        <v>99.999992020654801</v>
      </c>
      <c r="D145" s="21">
        <v>99.999993873555297</v>
      </c>
      <c r="T145" s="23"/>
      <c r="U145" s="24"/>
      <c r="V145" s="25"/>
    </row>
    <row r="146" spans="2:22" s="21" customFormat="1">
      <c r="B146" s="23">
        <v>600</v>
      </c>
      <c r="C146" s="21">
        <v>99.999994847962398</v>
      </c>
      <c r="D146" s="21">
        <v>99.999996117583507</v>
      </c>
      <c r="T146" s="23"/>
      <c r="U146" s="24"/>
      <c r="V146" s="25"/>
    </row>
    <row r="147" spans="2:22" s="21" customFormat="1">
      <c r="B147" s="23">
        <v>610</v>
      </c>
      <c r="C147" s="21">
        <v>99.999996487411806</v>
      </c>
      <c r="D147" s="21">
        <v>99.999997411266307</v>
      </c>
      <c r="T147" s="23"/>
      <c r="U147" s="24"/>
      <c r="V147" s="25"/>
    </row>
    <row r="148" spans="2:22" s="21" customFormat="1">
      <c r="B148" s="23">
        <v>620</v>
      </c>
      <c r="C148" s="21">
        <v>99.999997431947307</v>
      </c>
      <c r="D148" s="21">
        <v>99.999998152229495</v>
      </c>
      <c r="T148" s="23"/>
      <c r="U148" s="24"/>
      <c r="V148" s="25"/>
    </row>
    <row r="149" spans="2:22" s="21" customFormat="1">
      <c r="B149" s="23">
        <v>630</v>
      </c>
      <c r="C149" s="21">
        <v>99.999997974822705</v>
      </c>
      <c r="D149" s="21">
        <v>99.999998575592102</v>
      </c>
      <c r="T149" s="23"/>
      <c r="U149" s="24"/>
      <c r="V149" s="25"/>
    </row>
    <row r="150" spans="2:22" s="21" customFormat="1">
      <c r="B150" s="23">
        <v>640</v>
      </c>
      <c r="C150" s="21">
        <v>99.999998288344997</v>
      </c>
      <c r="D150" s="21">
        <v>99.999998818645196</v>
      </c>
      <c r="T150" s="23"/>
      <c r="U150" s="24"/>
      <c r="V150" s="25"/>
    </row>
    <row r="151" spans="2:22" s="21" customFormat="1">
      <c r="B151" s="23">
        <v>650</v>
      </c>
      <c r="C151" s="21">
        <v>99.999998472499598</v>
      </c>
      <c r="D151" s="21">
        <v>99.999998960558301</v>
      </c>
      <c r="T151" s="23"/>
      <c r="U151" s="24"/>
      <c r="V151" s="25"/>
    </row>
    <row r="152" spans="2:22" s="21" customFormat="1">
      <c r="B152" s="23">
        <v>660</v>
      </c>
      <c r="C152" s="21">
        <v>99.999998584586706</v>
      </c>
      <c r="D152" s="21">
        <v>99.999999046418097</v>
      </c>
      <c r="T152" s="23"/>
      <c r="U152" s="24"/>
      <c r="V152" s="25"/>
    </row>
    <row r="153" spans="2:22" s="21" customFormat="1">
      <c r="B153" s="23">
        <v>670</v>
      </c>
      <c r="C153" s="21">
        <v>99.9999986570392</v>
      </c>
      <c r="D153" s="21">
        <v>99.999999101583896</v>
      </c>
      <c r="T153" s="23"/>
      <c r="U153" s="24"/>
      <c r="V153" s="25"/>
    </row>
    <row r="154" spans="2:22" s="21" customFormat="1">
      <c r="B154" s="23">
        <v>680</v>
      </c>
      <c r="C154" s="21">
        <v>99.999998707988098</v>
      </c>
      <c r="D154" s="21">
        <v>99.999999140142805</v>
      </c>
      <c r="T154" s="23"/>
      <c r="U154" s="24"/>
      <c r="V154" s="25"/>
    </row>
    <row r="155" spans="2:22" s="21" customFormat="1">
      <c r="B155" s="23">
        <v>690</v>
      </c>
      <c r="C155" s="21">
        <v>99.999998747445204</v>
      </c>
      <c r="D155" s="21">
        <v>99.999999169823894</v>
      </c>
      <c r="T155" s="23"/>
      <c r="U155" s="24"/>
      <c r="V155" s="25"/>
    </row>
    <row r="156" spans="2:22" s="21" customFormat="1">
      <c r="B156" s="23">
        <v>700</v>
      </c>
      <c r="C156" s="21">
        <v>99.999998780870698</v>
      </c>
      <c r="D156" s="21">
        <v>99.9999991948158</v>
      </c>
      <c r="T156" s="23"/>
      <c r="U156" s="24"/>
      <c r="V156" s="25"/>
    </row>
    <row r="157" spans="2:22"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T157" s="16"/>
      <c r="U157" s="17"/>
      <c r="V157" s="15"/>
    </row>
    <row r="158" spans="2:22"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T158" s="16"/>
      <c r="U158" s="17"/>
      <c r="V158" s="15"/>
    </row>
    <row r="159" spans="2:22"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T159" s="16"/>
      <c r="U159" s="17"/>
      <c r="V159" s="15"/>
    </row>
    <row r="160" spans="2:22"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T160" s="16"/>
      <c r="U160" s="17"/>
      <c r="V160" s="15"/>
    </row>
    <row r="161" spans="2:22"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T161" s="16"/>
      <c r="U161" s="17"/>
      <c r="V161" s="15"/>
    </row>
    <row r="162" spans="2:22"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T162" s="16"/>
      <c r="U162" s="17"/>
      <c r="V162" s="15"/>
    </row>
    <row r="163" spans="2:22"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T163" s="16"/>
      <c r="U163" s="17"/>
      <c r="V163" s="15"/>
    </row>
    <row r="164" spans="2:22"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</row>
    <row r="165" spans="2:22"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</row>
    <row r="166" spans="2:22"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</row>
    <row r="167" spans="2:22"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</row>
    <row r="168" spans="2:22"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</row>
    <row r="169" spans="2:22"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</row>
    <row r="170" spans="2:22"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</row>
    <row r="171" spans="2:22"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</row>
    <row r="172" spans="2:22"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</row>
    <row r="173" spans="2:22"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</row>
    <row r="174" spans="2:22"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</row>
    <row r="175" spans="2:22"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</row>
    <row r="176" spans="2:22"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</row>
    <row r="177" spans="2:17"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</row>
    <row r="178" spans="2:17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</row>
    <row r="179" spans="2:17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</row>
  </sheetData>
  <phoneticPr fontId="2" type="noConversion"/>
  <pageMargins left="0.75" right="0.75" top="1" bottom="1" header="0.5" footer="0.5"/>
  <pageSetup paperSize="9" scale="91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quinor Document" ma:contentTypeID="0x01010021A623C39873404E8BA89587BD4428B40100F1C857D6D9B9A34EBE2037558213212D" ma:contentTypeVersion="21" ma:contentTypeDescription="Create a new document." ma:contentTypeScope="" ma:versionID="8e86ccbf212fac7366c9e7ba7b61e34c">
  <xsd:schema xmlns:xsd="http://www.w3.org/2001/XMLSchema" xmlns:xs="http://www.w3.org/2001/XMLSchema" xmlns:p="http://schemas.microsoft.com/office/2006/metadata/properties" xmlns:ns1="http://schemas.microsoft.com/sharepoint/v3" xmlns:ns2="5772ca99-cc6c-40d8-ad7f-b156f80e9ea5" xmlns:ns3="5b4e24bb-367d-45dc-b637-097f3fb44482" xmlns:ns4="37775746-2999-4c09-a50c-553d741e548f" targetNamespace="http://schemas.microsoft.com/office/2006/metadata/properties" ma:root="true" ma:fieldsID="19bd5d113192ecc503c90c12e3f728bf" ns1:_="" ns2:_="" ns3:_="" ns4:_="">
    <xsd:import namespace="http://schemas.microsoft.com/sharepoint/v3"/>
    <xsd:import namespace="5772ca99-cc6c-40d8-ad7f-b156f80e9ea5"/>
    <xsd:import namespace="5b4e24bb-367d-45dc-b637-097f3fb44482"/>
    <xsd:import namespace="37775746-2999-4c09-a50c-553d741e548f"/>
    <xsd:element name="properties">
      <xsd:complexType>
        <xsd:sequence>
          <xsd:element name="documentManagement">
            <xsd:complexType>
              <xsd:all>
                <xsd:element ref="ns2:d632f762b19c46329b06e4a329cb5038" minOccurs="0"/>
                <xsd:element ref="ns3:TaxCatchAll" minOccurs="0"/>
                <xsd:element ref="ns3:TaxCatchAllLabel" minOccurs="0"/>
                <xsd:element ref="ns2:mbf6ec96a4d94feeaf76fee4d5d0c80e" minOccurs="0"/>
                <xsd:element ref="ns2:c71f94430ee24530b6af52dc58e8598c" minOccurs="0"/>
                <xsd:element ref="ns2:m9e92212f5fa42fa9b52bc2f3224e0af" minOccurs="0"/>
                <xsd:element ref="ns2:hfb23c77fa4f4618a5f446ac03ac12ab" minOccurs="0"/>
                <xsd:element ref="ns2:g971e9ce8060489b80a056801d36d93d" minOccurs="0"/>
                <xsd:element ref="ns2:b519d5ff8fc64ffea9cb9a4c0b377271" minOccurs="0"/>
                <xsd:element ref="ns2:o6fe11a35735487dac377a215490fa4b" minOccurs="0"/>
                <xsd:element ref="ns2:gd56e2644879487f8da67586944cf0f5" minOccurs="0"/>
                <xsd:element ref="ns4:MediaServiceMetadata" minOccurs="0"/>
                <xsd:element ref="ns4:MediaServiceFastMetadata" minOccurs="0"/>
                <xsd:element ref="ns2:SharedWithUsers" minOccurs="0"/>
                <xsd:element ref="ns2:SharedWithDetail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lcf76f155ced4ddcb4097134ff3c332f" minOccurs="0"/>
                <xsd:element ref="ns4:MediaServiceObjectDetectorVersion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4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4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2ca99-cc6c-40d8-ad7f-b156f80e9ea5" elementFormDefault="qualified">
    <xsd:import namespace="http://schemas.microsoft.com/office/2006/documentManagement/types"/>
    <xsd:import namespace="http://schemas.microsoft.com/office/infopath/2007/PartnerControls"/>
    <xsd:element name="d632f762b19c46329b06e4a329cb5038" ma:index="8" ma:taxonomy="true" ma:internalName="d632f762b19c46329b06e4a329cb5038" ma:taxonomyFieldName="EIMBusinessArea" ma:displayName="Business Area" ma:default="5;#MARKETING MIDSTREAM ＆ PROCESSING (MMP)|df6c0c58-7aec-4c00-86c9-d38ce978d4e4" ma:fieldId="{d632f762-b19c-4632-9b06-e4a329cb5038}" ma:sspId="02f74cf1-ae9f-400d-bc52-3bcd3a9e177f" ma:termSetId="a8ca9a86-9113-48ea-8063-579000373f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bf6ec96a4d94feeaf76fee4d5d0c80e" ma:index="12" ma:taxonomy="true" ma:internalName="mbf6ec96a4d94feeaf76fee4d5d0c80e" ma:taxonomyFieldName="EIMCountry" ma:displayName="Country" ma:default="8;#Norway|cd21f0fc-a0f3-48c6-8f36-ae1c60534e37" ma:fieldId="{6bf6ec96-a4d9-4fee-af76-fee4d5d0c80e}" ma:taxonomyMulti="true" ma:sspId="02f74cf1-ae9f-400d-bc52-3bcd3a9e177f" ma:termSetId="0250f7c1-058f-435e-97fc-c7f58584592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71f94430ee24530b6af52dc58e8598c" ma:index="14" ma:taxonomy="true" ma:internalName="c71f94430ee24530b6af52dc58e8598c" ma:taxonomyFieldName="EIMInformationAsset" ma:displayName="Information type" ma:default="12;#M＆S External analysis documentation|f70c379e-127f-448b-8999-6ac14d0ea3fa" ma:fieldId="{c71f9443-0ee2-4530-b6af-52dc58e8598c}" ma:sspId="02f74cf1-ae9f-400d-bc52-3bcd3a9e177f" ma:termSetId="b76f03a6-1db7-44cf-ab25-1870b16029a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e92212f5fa42fa9b52bc2f3224e0af" ma:index="16" ma:taxonomy="true" ma:internalName="m9e92212f5fa42fa9b52bc2f3224e0af" ma:taxonomyFieldName="EIMLegalEntity" ma:displayName="Legal Entity" ma:default="1;#Equinor ASA|98c35a5d-62b8-4578-be3d-53b9f4deec1f" ma:fieldId="{69e92212-f5fa-42fa-9b52-bc2f3224e0af}" ma:sspId="02f74cf1-ae9f-400d-bc52-3bcd3a9e177f" ma:termSetId="547ebc0c-73a3-4a88-b498-ea2a950fe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fb23c77fa4f4618a5f446ac03ac12ab" ma:index="18" ma:taxonomy="true" ma:internalName="hfb23c77fa4f4618a5f446ac03ac12ab" ma:taxonomyFieldName="EIMProcessArea" ma:displayName="Business capability level 1" ma:default="9;#Marketing and supply (M＆S)|7be502eb-ca74-4137-83b7-c03f111665eb" ma:fieldId="{1fb23c77-fa4f-4618-a5f4-46ac03ac12ab}" ma:sspId="02f74cf1-ae9f-400d-bc52-3bcd3a9e177f" ma:termSetId="041c847a-4248-484c-8e89-6aba1a2f3a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971e9ce8060489b80a056801d36d93d" ma:index="20" ma:taxonomy="true" ma:internalName="g971e9ce8060489b80a056801d36d93d" ma:taxonomyFieldName="EIMProcess" ma:displayName="Business capability level 2" ma:default="10;#Global Macro and Market analysis|97b50156-44e8-4991-9d47-252bb9103e32" ma:fieldId="{0971e9ce-8060-489b-80a0-56801d36d93d}" ma:sspId="02f74cf1-ae9f-400d-bc52-3bcd3a9e177f" ma:termSetId="3b80e1d2-5900-412d-b185-fa8652847d1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519d5ff8fc64ffea9cb9a4c0b377271" ma:index="22" ma:taxonomy="true" ma:internalName="b519d5ff8fc64ffea9cb9a4c0b377271" ma:taxonomyFieldName="EIMSecurityClassification" ma:displayName="Security Classification" ma:default="11;#Restricted|2778d0cb-d518-40da-b77b-8925576cf660" ma:fieldId="{b519d5ff-8fc6-4ffe-a9cb-9a4c0b377271}" ma:sspId="02f74cf1-ae9f-400d-bc52-3bcd3a9e177f" ma:termSetId="6586e8a5-4521-47b6-a267-a502c9a77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6fe11a35735487dac377a215490fa4b" ma:index="24" nillable="true" ma:taxonomy="true" ma:internalName="o6fe11a35735487dac377a215490fa4b" ma:taxonomyFieldName="EIMSource" ma:displayName="Source" ma:default="3;#Office 365|23cc2eaf-b88f-49bf-9aee-2309aadb8846" ma:fieldId="{86fe11a3-5735-487d-ac37-7a215490fa4b}" ma:sspId="02f74cf1-ae9f-400d-bc52-3bcd3a9e177f" ma:termSetId="68f706c4-2129-47d0-b770-1bab961b61b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d56e2644879487f8da67586944cf0f5" ma:index="26" ma:taxonomy="true" ma:internalName="gd56e2644879487f8da67586944cf0f5" ma:taxonomyFieldName="EIMStatus" ma:displayName="Status" ma:default="2;#Draft|af4d3abd-d88d-48b7-8fea-db9baac9496f" ma:fieldId="{0d56e264-4879-487f-8da6-7586944cf0f5}" ma:sspId="02f74cf1-ae9f-400d-bc52-3bcd3a9e177f" ma:termSetId="ee819452-dde8-4ad2-a8b9-030bdfafa6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e24bb-367d-45dc-b637-097f3fb44482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47018e7c-ea07-40e0-afdc-826be5381e5d}" ma:internalName="TaxCatchAll" ma:showField="CatchAllData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47018e7c-ea07-40e0-afdc-826be5381e5d}" ma:internalName="TaxCatchAllLabel" ma:readOnly="true" ma:showField="CatchAllDataLabel" ma:web="5772ca99-cc6c-40d8-ad7f-b156f80e9e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75746-2999-4c09-a50c-553d741e54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2" nillable="true" ma:displayName="Tags" ma:internalName="MediaServiceAutoTags" ma:readOnly="true">
      <xsd:simpleType>
        <xsd:restriction base="dms:Text"/>
      </xsd:simpleType>
    </xsd:element>
    <xsd:element name="MediaServiceOCR" ma:index="3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02f74cf1-ae9f-400d-bc52-3bcd3a9e1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02f74cf1-ae9f-400d-bc52-3bcd3a9e177f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971e9ce8060489b80a056801d36d93d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Global Macro and Market analysis</TermName>
          <TermId xmlns="http://schemas.microsoft.com/office/infopath/2007/PartnerControls">97b50156-44e8-4991-9d47-252bb9103e32</TermId>
        </TermInfo>
      </Terms>
    </g971e9ce8060489b80a056801d36d93d>
    <gd56e2644879487f8da67586944cf0f5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Draft</TermName>
          <TermId xmlns="http://schemas.microsoft.com/office/infopath/2007/PartnerControls">af4d3abd-d88d-48b7-8fea-db9baac9496f</TermId>
        </TermInfo>
      </Terms>
    </gd56e2644879487f8da67586944cf0f5>
    <d632f762b19c46329b06e4a329cb5038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MIDSTREAM ＆ PROCESSING (MMP)</TermName>
          <TermId xmlns="http://schemas.microsoft.com/office/infopath/2007/PartnerControls">df6c0c58-7aec-4c00-86c9-d38ce978d4e4</TermId>
        </TermInfo>
      </Terms>
    </d632f762b19c46329b06e4a329cb5038>
    <c71f94430ee24530b6af52dc58e8598c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M＆S Analysis documentation</TermName>
          <TermId xmlns="http://schemas.microsoft.com/office/infopath/2007/PartnerControls">f70c379e-127f-448b-8999-6ac14d0ea3fa</TermId>
        </TermInfo>
      </Terms>
    </c71f94430ee24530b6af52dc58e8598c>
    <mbf6ec96a4d94feeaf76fee4d5d0c80e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Norway</TermName>
          <TermId xmlns="http://schemas.microsoft.com/office/infopath/2007/PartnerControls">cd21f0fc-a0f3-48c6-8f36-ae1c60534e37</TermId>
        </TermInfo>
      </Terms>
    </mbf6ec96a4d94feeaf76fee4d5d0c80e>
    <_ip_UnifiedCompliancePolicyUIAction xmlns="http://schemas.microsoft.com/sharepoint/v3" xsi:nil="true"/>
    <b519d5ff8fc64ffea9cb9a4c0b377271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2778d0cb-d518-40da-b77b-8925576cf660</TermId>
        </TermInfo>
      </Terms>
    </b519d5ff8fc64ffea9cb9a4c0b377271>
    <_ip_UnifiedCompliancePolicyProperties xmlns="http://schemas.microsoft.com/sharepoint/v3" xsi:nil="true"/>
    <m9e92212f5fa42fa9b52bc2f3224e0af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Equinor ASA</TermName>
          <TermId xmlns="http://schemas.microsoft.com/office/infopath/2007/PartnerControls">98c35a5d-62b8-4578-be3d-53b9f4deec1f</TermId>
        </TermInfo>
      </Terms>
    </m9e92212f5fa42fa9b52bc2f3224e0af>
    <hfb23c77fa4f4618a5f446ac03ac12a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Marketing and supply (M＆S)</TermName>
          <TermId xmlns="http://schemas.microsoft.com/office/infopath/2007/PartnerControls">7be502eb-ca74-4137-83b7-c03f111665eb</TermId>
        </TermInfo>
      </Terms>
    </hfb23c77fa4f4618a5f446ac03ac12ab>
    <lcf76f155ced4ddcb4097134ff3c332f xmlns="37775746-2999-4c09-a50c-553d741e548f">
      <Terms xmlns="http://schemas.microsoft.com/office/infopath/2007/PartnerControls"/>
    </lcf76f155ced4ddcb4097134ff3c332f>
    <TaxCatchAll xmlns="5b4e24bb-367d-45dc-b637-097f3fb44482">
      <Value>12</Value>
      <Value>11</Value>
      <Value>10</Value>
      <Value>9</Value>
      <Value>8</Value>
      <Value>5</Value>
      <Value>3</Value>
      <Value>2</Value>
      <Value>1</Value>
    </TaxCatchAll>
    <o6fe11a35735487dac377a215490fa4b xmlns="5772ca99-cc6c-40d8-ad7f-b156f80e9ea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365</TermName>
          <TermId xmlns="http://schemas.microsoft.com/office/infopath/2007/PartnerControls">23cc2eaf-b88f-49bf-9aee-2309aadb8846</TermId>
        </TermInfo>
      </Terms>
    </o6fe11a35735487dac377a215490fa4b>
  </documentManagement>
</p:properties>
</file>

<file path=customXml/itemProps1.xml><?xml version="1.0" encoding="utf-8"?>
<ds:datastoreItem xmlns:ds="http://schemas.openxmlformats.org/officeDocument/2006/customXml" ds:itemID="{CF3404F9-AA49-47B4-891E-C68B9C9BFCAD}"/>
</file>

<file path=customXml/itemProps2.xml><?xml version="1.0" encoding="utf-8"?>
<ds:datastoreItem xmlns:ds="http://schemas.openxmlformats.org/officeDocument/2006/customXml" ds:itemID="{776AF03A-B515-4474-A876-782E9BA34CEF}"/>
</file>

<file path=customXml/itemProps3.xml><?xml version="1.0" encoding="utf-8"?>
<ds:datastoreItem xmlns:ds="http://schemas.openxmlformats.org/officeDocument/2006/customXml" ds:itemID="{AA6EFEE7-0A25-4875-9E08-776400846586}"/>
</file>

<file path=customXml/itemProps4.xml><?xml version="1.0" encoding="utf-8"?>
<ds:datastoreItem xmlns:ds="http://schemas.openxmlformats.org/officeDocument/2006/customXml" ds:itemID="{1AB1934E-8408-4C7B-8732-B43800274613}"/>
</file>

<file path=docMetadata/LabelInfo.xml><?xml version="1.0" encoding="utf-8"?>
<clbl:labelList xmlns:clbl="http://schemas.microsoft.com/office/2020/mipLabelMetadata">
  <clbl:label id="{046c756f-26af-49d7-8b14-b166fcf3e7d5}" enabled="1" method="Standard" siteId="{3aa4a235-b6e2-48d5-9195-7fcf05b459b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</vt:lpstr>
      <vt:lpstr>Yield Graph</vt:lpstr>
      <vt:lpstr>Summary!Print_Area</vt:lpstr>
      <vt:lpstr>'Yield Graph'!Print_Area</vt:lpstr>
    </vt:vector>
  </TitlesOfParts>
  <Company>Spiral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Idir Moulla</cp:lastModifiedBy>
  <cp:lastPrinted>2017-11-17T09:36:26Z</cp:lastPrinted>
  <dcterms:created xsi:type="dcterms:W3CDTF">2007-09-13T12:34:08Z</dcterms:created>
  <dcterms:modified xsi:type="dcterms:W3CDTF">2026-05-05T09:48:37Z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EIMLegalEntity">
    <vt:lpwstr>1;#Equinor ASA|98c35a5d-62b8-4578-be3d-53b9f4deec1f</vt:lpwstr>
  </property>
  <property fmtid="{D5CDD505-2E9C-101B-9397-08002B2CF9AE}" pid="4" name="ContentTypeId">
    <vt:lpwstr>0x01010021A623C39873404E8BA89587BD4428B40100F1C857D6D9B9A34EBE2037558213212D</vt:lpwstr>
  </property>
  <property fmtid="{D5CDD505-2E9C-101B-9397-08002B2CF9AE}" pid="5" name="EIMBusinessArea">
    <vt:lpwstr>5;#MARKETING MIDSTREAM ＆ PROCESSING (MMP)|df6c0c58-7aec-4c00-86c9-d38ce978d4e4</vt:lpwstr>
  </property>
  <property fmtid="{D5CDD505-2E9C-101B-9397-08002B2CF9AE}" pid="6" name="EIMCountry">
    <vt:lpwstr>8;#Norway|cd21f0fc-a0f3-48c6-8f36-ae1c60534e37</vt:lpwstr>
  </property>
  <property fmtid="{D5CDD505-2E9C-101B-9397-08002B2CF9AE}" pid="7" name="EIMSource">
    <vt:lpwstr>3;#Office 365|23cc2eaf-b88f-49bf-9aee-2309aadb8846</vt:lpwstr>
  </property>
  <property fmtid="{D5CDD505-2E9C-101B-9397-08002B2CF9AE}" pid="8" name="EIMSecurityClassification">
    <vt:lpwstr>11;#Restricted|2778d0cb-d518-40da-b77b-8925576cf660</vt:lpwstr>
  </property>
  <property fmtid="{D5CDD505-2E9C-101B-9397-08002B2CF9AE}" pid="9" name="EIMProcess">
    <vt:lpwstr>10;#Global Macro and Market analysis|97b50156-44e8-4991-9d47-252bb9103e32</vt:lpwstr>
  </property>
  <property fmtid="{D5CDD505-2E9C-101B-9397-08002B2CF9AE}" pid="10" name="EIMInformationAsset">
    <vt:lpwstr>12;#M＆S Analysis documentation|f70c379e-127f-448b-8999-6ac14d0ea3fa</vt:lpwstr>
  </property>
  <property fmtid="{D5CDD505-2E9C-101B-9397-08002B2CF9AE}" pid="11" name="EIMProcessArea">
    <vt:lpwstr>9;#Marketing and supply (M＆S)|7be502eb-ca74-4137-83b7-c03f111665eb</vt:lpwstr>
  </property>
  <property fmtid="{D5CDD505-2E9C-101B-9397-08002B2CF9AE}" pid="12" name="EIMStatus">
    <vt:lpwstr>2;#Draft|af4d3abd-d88d-48b7-8fea-db9baac9496f</vt:lpwstr>
  </property>
  <property fmtid="{D5CDD505-2E9C-101B-9397-08002B2CF9AE}" pid="13" name="MediaServiceImageTags">
    <vt:lpwstr/>
  </property>
</Properties>
</file>